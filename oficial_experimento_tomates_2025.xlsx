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urometro" sheetId="1" r:id="rId4"/>
    <sheet state="visible" name="forma_e_tamanho" sheetId="2" r:id="rId5"/>
    <sheet state="visible" name="teor_agua" sheetId="3" r:id="rId6"/>
    <sheet state="visible" name="acidez_ph_brix" sheetId="4" r:id="rId7"/>
    <sheet state="visible" name="colorimetria" sheetId="5" r:id="rId8"/>
  </sheets>
  <definedNames/>
  <calcPr/>
  <extLst>
    <ext uri="GoogleSheetsCustomDataVersion2">
      <go:sheetsCustomData xmlns:go="http://customooxmlschemas.google.com/" r:id="rId9" roundtripDataChecksum="MDnjBQOQyNim1Aew65StE2RD0zONgyJ6TwmiWW37Huk="/>
    </ext>
  </extLst>
</workbook>
</file>

<file path=xl/sharedStrings.xml><?xml version="1.0" encoding="utf-8"?>
<sst xmlns="http://schemas.openxmlformats.org/spreadsheetml/2006/main" count="820" uniqueCount="150">
  <si>
    <t>amostra</t>
  </si>
  <si>
    <t>tratamento</t>
  </si>
  <si>
    <t>comprimento</t>
  </si>
  <si>
    <t>largura</t>
  </si>
  <si>
    <t>profundidade</t>
  </si>
  <si>
    <t>dureza</t>
  </si>
  <si>
    <t>deformacao</t>
  </si>
  <si>
    <t>adesividade</t>
  </si>
  <si>
    <t>fraturabilidade</t>
  </si>
  <si>
    <t>coesividade</t>
  </si>
  <si>
    <t>elasticidade</t>
  </si>
  <si>
    <t>gomosidade</t>
  </si>
  <si>
    <t>mastigabilidade</t>
  </si>
  <si>
    <t>verde</t>
  </si>
  <si>
    <t>alaranjado</t>
  </si>
  <si>
    <t>vermelho</t>
  </si>
  <si>
    <t>espessura</t>
  </si>
  <si>
    <t>peso</t>
  </si>
  <si>
    <t xml:space="preserve">volume </t>
  </si>
  <si>
    <t xml:space="preserve">massa_especifica_real </t>
  </si>
  <si>
    <t>circularidade</t>
  </si>
  <si>
    <t>esfericidade</t>
  </si>
  <si>
    <t>repeticao</t>
  </si>
  <si>
    <t>n_capsula</t>
  </si>
  <si>
    <t>tara</t>
  </si>
  <si>
    <t>massa_umida</t>
  </si>
  <si>
    <t>peso_total_seco</t>
  </si>
  <si>
    <t>peso_total_umido</t>
  </si>
  <si>
    <t>teor_agua_bu_pct</t>
  </si>
  <si>
    <t>teor_agua_bs_pct</t>
  </si>
  <si>
    <t>24p</t>
  </si>
  <si>
    <t>78kby</t>
  </si>
  <si>
    <t>T10/30</t>
  </si>
  <si>
    <t>T1</t>
  </si>
  <si>
    <t>T11</t>
  </si>
  <si>
    <t>T32</t>
  </si>
  <si>
    <t>T39</t>
  </si>
  <si>
    <t>T18</t>
  </si>
  <si>
    <t>T18B</t>
  </si>
  <si>
    <t>TPI</t>
  </si>
  <si>
    <t>T14</t>
  </si>
  <si>
    <t>TJK</t>
  </si>
  <si>
    <t>TPRT</t>
  </si>
  <si>
    <t>T23</t>
  </si>
  <si>
    <t>T19</t>
  </si>
  <si>
    <t>TKB</t>
  </si>
  <si>
    <t>T2</t>
  </si>
  <si>
    <t>TXT</t>
  </si>
  <si>
    <t>T20</t>
  </si>
  <si>
    <t>T17</t>
  </si>
  <si>
    <t>TFX</t>
  </si>
  <si>
    <t>TLM</t>
  </si>
  <si>
    <t>TCD</t>
  </si>
  <si>
    <t>TKPA</t>
  </si>
  <si>
    <t>TAB</t>
  </si>
  <si>
    <t>T13</t>
  </si>
  <si>
    <t>T2Y</t>
  </si>
  <si>
    <t>TCLK</t>
  </si>
  <si>
    <t>TAU</t>
  </si>
  <si>
    <t>T15</t>
  </si>
  <si>
    <t>TPr</t>
  </si>
  <si>
    <t>TCO</t>
  </si>
  <si>
    <t>TJPG</t>
  </si>
  <si>
    <t>TPNG</t>
  </si>
  <si>
    <t>T38</t>
  </si>
  <si>
    <t>T21</t>
  </si>
  <si>
    <t>T12</t>
  </si>
  <si>
    <t>TF11</t>
  </si>
  <si>
    <t>T12BA</t>
  </si>
  <si>
    <t>TF1</t>
  </si>
  <si>
    <t>T8BAR</t>
  </si>
  <si>
    <t>TF2</t>
  </si>
  <si>
    <t>TF3</t>
  </si>
  <si>
    <t>TF4</t>
  </si>
  <si>
    <t>TF5</t>
  </si>
  <si>
    <t>TF6</t>
  </si>
  <si>
    <t>T611</t>
  </si>
  <si>
    <t>TF7</t>
  </si>
  <si>
    <t>TK11</t>
  </si>
  <si>
    <t>TF8</t>
  </si>
  <si>
    <t>TF9</t>
  </si>
  <si>
    <t>TA1B</t>
  </si>
  <si>
    <t>TA2B</t>
  </si>
  <si>
    <t>TA3B</t>
  </si>
  <si>
    <t>TA4B</t>
  </si>
  <si>
    <t>TA5B</t>
  </si>
  <si>
    <t>TA6B</t>
  </si>
  <si>
    <t>TA7B</t>
  </si>
  <si>
    <t>TA8B</t>
  </si>
  <si>
    <t>TA9B</t>
  </si>
  <si>
    <t>TA1C</t>
  </si>
  <si>
    <t>TA2C</t>
  </si>
  <si>
    <t>TA3C</t>
  </si>
  <si>
    <t>TA4C</t>
  </si>
  <si>
    <t>TA5C</t>
  </si>
  <si>
    <t>TA6C</t>
  </si>
  <si>
    <t>TA7C</t>
  </si>
  <si>
    <t>TA8C</t>
  </si>
  <si>
    <t>TA9C</t>
  </si>
  <si>
    <t>TA1D</t>
  </si>
  <si>
    <t>TA2D</t>
  </si>
  <si>
    <t>TA3D</t>
  </si>
  <si>
    <t>TA4D</t>
  </si>
  <si>
    <t>TA5D</t>
  </si>
  <si>
    <t>TA6D</t>
  </si>
  <si>
    <t>TA7D</t>
  </si>
  <si>
    <t>TA8D</t>
  </si>
  <si>
    <t>TA9D</t>
  </si>
  <si>
    <t>TA1E</t>
  </si>
  <si>
    <t>TA2E</t>
  </si>
  <si>
    <t>TA3E</t>
  </si>
  <si>
    <t>TA4E</t>
  </si>
  <si>
    <t>TA5E</t>
  </si>
  <si>
    <t>TA6E</t>
  </si>
  <si>
    <t>TA7E</t>
  </si>
  <si>
    <t>TA8E</t>
  </si>
  <si>
    <t>TA9E</t>
  </si>
  <si>
    <t>TA1F</t>
  </si>
  <si>
    <t>TA2F</t>
  </si>
  <si>
    <t>TA3F</t>
  </si>
  <si>
    <t>TA4F</t>
  </si>
  <si>
    <t>TA5F</t>
  </si>
  <si>
    <t>TA6F</t>
  </si>
  <si>
    <t>TA7F</t>
  </si>
  <si>
    <t>TA8F</t>
  </si>
  <si>
    <t>TA9F</t>
  </si>
  <si>
    <t>TA1G</t>
  </si>
  <si>
    <t>TA2G</t>
  </si>
  <si>
    <t>TA3G</t>
  </si>
  <si>
    <t>TA4G</t>
  </si>
  <si>
    <t>TA5G</t>
  </si>
  <si>
    <t>TA6G</t>
  </si>
  <si>
    <t>TA7G</t>
  </si>
  <si>
    <t>TA8G</t>
  </si>
  <si>
    <t>TA9G</t>
  </si>
  <si>
    <t>TA1H</t>
  </si>
  <si>
    <t>TA2H</t>
  </si>
  <si>
    <t>TA3H</t>
  </si>
  <si>
    <t>TA4H</t>
  </si>
  <si>
    <t>TA5H</t>
  </si>
  <si>
    <t>massa_amostra</t>
  </si>
  <si>
    <t>naoh</t>
  </si>
  <si>
    <t>acidez_pct</t>
  </si>
  <si>
    <t>ph</t>
  </si>
  <si>
    <t>brix</t>
  </si>
  <si>
    <t xml:space="preserve">luminosidade </t>
  </si>
  <si>
    <t>cor_verde_vermelho</t>
  </si>
  <si>
    <t>cor_azul_amarelo</t>
  </si>
  <si>
    <t>croma</t>
  </si>
  <si>
    <t>angulo_hue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</si>
</sst>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#,##0.00000"/>
    <numFmt numFmtId="166" formatCode="hh:mm"/>
    <numFmt numFmtId="167" formatCode="d.m"/>
  </numFmts>
  <fonts count="10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  <font>
      <color rgb="FF000000"/>
      <name val="Calibri"/>
      <scheme val="minor"/>
    </font>
    <font>
      <color rgb="FF434343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" xfId="0" applyAlignment="1" applyFont="1" applyNumberFormat="1">
      <alignment horizontal="center" vertical="bottom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0" fontId="3" numFmtId="4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2" fontId="3" numFmtId="165" xfId="0" applyAlignment="1" applyFill="1" applyFont="1" applyNumberFormat="1">
      <alignment horizontal="center"/>
    </xf>
    <xf borderId="0" fillId="0" fontId="3" numFmtId="2" xfId="0" applyFont="1" applyNumberFormat="1"/>
    <xf borderId="0" fillId="0" fontId="3" numFmtId="4" xfId="0" applyAlignment="1" applyFont="1" applyNumberFormat="1">
      <alignment horizontal="center"/>
    </xf>
    <xf borderId="0" fillId="0" fontId="3" numFmtId="4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4" numFmtId="0" xfId="0" applyFont="1"/>
    <xf borderId="0" fillId="0" fontId="3" numFmtId="0" xfId="0" applyAlignment="1" applyFont="1">
      <alignment horizontal="right" readingOrder="0"/>
    </xf>
    <xf borderId="0" fillId="2" fontId="5" numFmtId="0" xfId="0" applyAlignment="1" applyFont="1">
      <alignment horizontal="right"/>
    </xf>
    <xf borderId="0" fillId="0" fontId="3" numFmtId="3" xfId="0" applyAlignment="1" applyFont="1" applyNumberFormat="1">
      <alignment horizontal="right" readingOrder="0"/>
    </xf>
    <xf borderId="0" fillId="0" fontId="3" numFmtId="166" xfId="0" applyFont="1" applyNumberFormat="1"/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167" xfId="0" applyFont="1" applyNumberFormat="1"/>
    <xf borderId="1" fillId="0" fontId="9" numFmtId="0" xfId="0" applyAlignment="1" applyBorder="1" applyFont="1">
      <alignment horizontal="center" readingOrder="0" vertical="top"/>
    </xf>
    <xf borderId="0" fillId="2" fontId="5" numFmtId="0" xfId="0" applyAlignment="1" applyFont="1">
      <alignment horizontal="left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1.0"/>
    <col customWidth="1" min="3" max="3" width="12.86"/>
    <col customWidth="1" min="4" max="4" width="7.29"/>
    <col customWidth="1" min="5" max="5" width="13.0"/>
    <col customWidth="1" min="6" max="6" width="7.0"/>
    <col customWidth="1" min="7" max="8" width="11.57"/>
    <col customWidth="1" min="9" max="9" width="14.14"/>
    <col customWidth="1" min="10" max="10" width="11.43"/>
    <col customWidth="1" min="11" max="11" width="11.57"/>
    <col customWidth="1" min="12" max="12" width="11.71"/>
    <col customWidth="1" min="13" max="13" width="14.86"/>
    <col customWidth="1" min="15" max="15" width="26.71"/>
    <col customWidth="1" min="16" max="16" width="39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>
      <c r="A2" s="4">
        <v>1.0</v>
      </c>
      <c r="B2" s="4" t="s">
        <v>13</v>
      </c>
      <c r="C2" s="5">
        <v>72.89</v>
      </c>
      <c r="D2" s="5">
        <v>39.87</v>
      </c>
      <c r="E2" s="5">
        <v>37.14</v>
      </c>
      <c r="F2" s="5">
        <v>4.86</v>
      </c>
      <c r="G2" s="5">
        <v>3.99</v>
      </c>
      <c r="H2" s="5">
        <v>0.0</v>
      </c>
      <c r="I2" s="5">
        <v>10.2</v>
      </c>
      <c r="J2" s="5">
        <v>0.19</v>
      </c>
      <c r="K2" s="5">
        <v>3.27</v>
      </c>
      <c r="L2" s="5">
        <v>0.95</v>
      </c>
      <c r="M2" s="5">
        <v>3.1</v>
      </c>
    </row>
    <row r="3">
      <c r="A3" s="4">
        <v>2.0</v>
      </c>
      <c r="B3" s="4" t="s">
        <v>13</v>
      </c>
      <c r="C3" s="5">
        <v>80.62</v>
      </c>
      <c r="D3" s="5">
        <v>45.4</v>
      </c>
      <c r="E3" s="5">
        <v>45.2</v>
      </c>
      <c r="F3" s="5">
        <v>3.75</v>
      </c>
      <c r="G3" s="5">
        <v>4.0</v>
      </c>
      <c r="H3" s="5">
        <v>0.3</v>
      </c>
      <c r="I3" s="5">
        <v>9.18</v>
      </c>
      <c r="J3" s="5">
        <v>0.13</v>
      </c>
      <c r="K3" s="5">
        <v>2.5</v>
      </c>
      <c r="L3" s="5">
        <v>0.51</v>
      </c>
      <c r="M3" s="5">
        <v>1.3</v>
      </c>
    </row>
    <row r="4">
      <c r="A4" s="4">
        <v>3.0</v>
      </c>
      <c r="B4" s="4" t="s">
        <v>13</v>
      </c>
      <c r="C4" s="5">
        <v>64.24</v>
      </c>
      <c r="D4" s="5">
        <v>38.18</v>
      </c>
      <c r="E4" s="5">
        <v>36.25</v>
      </c>
      <c r="F4" s="5">
        <v>14.26</v>
      </c>
      <c r="G4" s="5">
        <v>3.98</v>
      </c>
      <c r="H4" s="5">
        <v>0.5</v>
      </c>
      <c r="I4" s="5">
        <v>14.26</v>
      </c>
      <c r="J4" s="5">
        <v>0.08</v>
      </c>
      <c r="K4" s="5">
        <v>2.2</v>
      </c>
      <c r="L4" s="5">
        <v>1.16</v>
      </c>
      <c r="M4" s="5">
        <v>2.6</v>
      </c>
    </row>
    <row r="5">
      <c r="A5" s="4">
        <v>4.0</v>
      </c>
      <c r="B5" s="4" t="s">
        <v>13</v>
      </c>
      <c r="C5" s="5">
        <v>73.03</v>
      </c>
      <c r="D5" s="5">
        <v>43.48</v>
      </c>
      <c r="E5" s="5">
        <v>42.0</v>
      </c>
      <c r="F5" s="5">
        <v>6.32</v>
      </c>
      <c r="G5" s="5">
        <v>4.0</v>
      </c>
      <c r="H5" s="5">
        <v>0.3</v>
      </c>
      <c r="I5" s="5">
        <v>6.32</v>
      </c>
      <c r="J5" s="5">
        <v>0.24</v>
      </c>
      <c r="K5" s="5">
        <v>2.71</v>
      </c>
      <c r="L5" s="5">
        <v>1.5</v>
      </c>
      <c r="M5" s="5">
        <v>4.1</v>
      </c>
    </row>
    <row r="6">
      <c r="A6" s="4">
        <v>5.0</v>
      </c>
      <c r="B6" s="4" t="s">
        <v>13</v>
      </c>
      <c r="C6" s="5">
        <v>71.2</v>
      </c>
      <c r="D6" s="5">
        <v>44.46</v>
      </c>
      <c r="E6" s="5">
        <v>41.98</v>
      </c>
      <c r="F6" s="5">
        <v>5.29</v>
      </c>
      <c r="G6" s="5">
        <v>4.0</v>
      </c>
      <c r="H6" s="5">
        <v>0.4</v>
      </c>
      <c r="I6" s="5">
        <v>5.29</v>
      </c>
      <c r="J6" s="5">
        <v>0.23</v>
      </c>
      <c r="K6" s="5">
        <v>2.6</v>
      </c>
      <c r="L6" s="5">
        <v>1.24</v>
      </c>
      <c r="M6" s="5">
        <v>3.2</v>
      </c>
    </row>
    <row r="7">
      <c r="A7" s="4">
        <v>6.0</v>
      </c>
      <c r="B7" s="4" t="s">
        <v>13</v>
      </c>
      <c r="C7" s="5">
        <v>76.01</v>
      </c>
      <c r="D7" s="5">
        <v>42.57</v>
      </c>
      <c r="E7" s="5">
        <v>39.52</v>
      </c>
      <c r="F7" s="5">
        <v>4.76</v>
      </c>
      <c r="G7" s="5">
        <v>4.0</v>
      </c>
      <c r="H7" s="5">
        <v>0.3</v>
      </c>
      <c r="I7" s="5">
        <v>11.61</v>
      </c>
      <c r="J7" s="5">
        <v>0.12</v>
      </c>
      <c r="K7" s="5">
        <v>2.14</v>
      </c>
      <c r="L7" s="5">
        <v>0.59</v>
      </c>
      <c r="M7" s="5">
        <v>1.3</v>
      </c>
    </row>
    <row r="8">
      <c r="A8" s="4">
        <v>7.0</v>
      </c>
      <c r="B8" s="4" t="s">
        <v>13</v>
      </c>
      <c r="C8" s="5">
        <v>86.97</v>
      </c>
      <c r="D8" s="5">
        <v>43.06</v>
      </c>
      <c r="E8" s="5">
        <v>41.7</v>
      </c>
      <c r="F8" s="5">
        <v>6.08</v>
      </c>
      <c r="G8" s="5">
        <v>4.0</v>
      </c>
      <c r="H8" s="5">
        <v>0.4</v>
      </c>
      <c r="I8" s="5">
        <v>10.98</v>
      </c>
      <c r="J8" s="5">
        <v>0.15</v>
      </c>
      <c r="K8" s="5">
        <v>2.57</v>
      </c>
      <c r="L8" s="5">
        <v>0.91</v>
      </c>
      <c r="M8" s="5">
        <v>2.3</v>
      </c>
    </row>
    <row r="9">
      <c r="A9" s="4">
        <v>8.0</v>
      </c>
      <c r="B9" s="4" t="s">
        <v>13</v>
      </c>
      <c r="C9" s="5">
        <v>74.41</v>
      </c>
      <c r="D9" s="5">
        <v>46.94</v>
      </c>
      <c r="E9" s="5">
        <v>45.89</v>
      </c>
      <c r="F9" s="5">
        <v>5.23</v>
      </c>
      <c r="G9" s="5">
        <v>3.99</v>
      </c>
      <c r="H9" s="5">
        <v>0.6</v>
      </c>
      <c r="I9" s="5">
        <v>5.23</v>
      </c>
      <c r="J9" s="5">
        <v>0.17</v>
      </c>
      <c r="K9" s="5">
        <v>3.38</v>
      </c>
      <c r="L9" s="5">
        <v>0.86</v>
      </c>
      <c r="M9" s="5">
        <v>2.9</v>
      </c>
    </row>
    <row r="10">
      <c r="A10" s="4">
        <v>9.0</v>
      </c>
      <c r="B10" s="4" t="s">
        <v>13</v>
      </c>
      <c r="C10" s="5">
        <v>73.26</v>
      </c>
      <c r="D10" s="5">
        <v>43.38</v>
      </c>
      <c r="E10" s="5">
        <v>43.17</v>
      </c>
      <c r="F10" s="5">
        <v>5.57</v>
      </c>
      <c r="G10" s="5">
        <v>4.0</v>
      </c>
      <c r="H10" s="5">
        <v>0.3</v>
      </c>
      <c r="I10" s="5">
        <v>10.7</v>
      </c>
      <c r="J10" s="5">
        <v>0.19</v>
      </c>
      <c r="K10" s="5">
        <v>2.33</v>
      </c>
      <c r="L10" s="5">
        <v>1.06</v>
      </c>
      <c r="M10" s="5">
        <v>2.5</v>
      </c>
    </row>
    <row r="11">
      <c r="A11" s="4">
        <v>10.0</v>
      </c>
      <c r="B11" s="4" t="s">
        <v>13</v>
      </c>
      <c r="C11" s="5">
        <v>75.1</v>
      </c>
      <c r="D11" s="5">
        <v>45.29</v>
      </c>
      <c r="E11" s="5">
        <v>45.27</v>
      </c>
      <c r="F11" s="5">
        <v>6.16</v>
      </c>
      <c r="G11" s="5">
        <v>4.0</v>
      </c>
      <c r="H11" s="5">
        <v>0.3</v>
      </c>
      <c r="I11" s="5">
        <v>8.79</v>
      </c>
      <c r="J11" s="5">
        <v>0.25</v>
      </c>
      <c r="K11" s="5">
        <v>3.12</v>
      </c>
      <c r="L11" s="5">
        <v>1.57</v>
      </c>
      <c r="M11" s="5">
        <v>4.9</v>
      </c>
    </row>
    <row r="12">
      <c r="A12" s="4">
        <v>11.0</v>
      </c>
      <c r="B12" s="4" t="s">
        <v>13</v>
      </c>
      <c r="C12" s="5">
        <v>78.69</v>
      </c>
      <c r="D12" s="5">
        <v>46.68</v>
      </c>
      <c r="E12" s="5">
        <v>46.39</v>
      </c>
      <c r="F12" s="5">
        <v>5.24</v>
      </c>
      <c r="G12" s="5">
        <v>4.0</v>
      </c>
      <c r="H12" s="5">
        <v>0.2</v>
      </c>
      <c r="I12" s="5">
        <v>5.24</v>
      </c>
      <c r="J12" s="5">
        <v>0.15</v>
      </c>
      <c r="K12" s="5">
        <v>3.45</v>
      </c>
      <c r="L12" s="5">
        <v>0.76</v>
      </c>
      <c r="M12" s="5">
        <v>2.6</v>
      </c>
    </row>
    <row r="13">
      <c r="A13" s="4">
        <v>12.0</v>
      </c>
      <c r="B13" s="4" t="s">
        <v>13</v>
      </c>
      <c r="C13" s="5">
        <v>80.56</v>
      </c>
      <c r="D13" s="5">
        <v>46.65</v>
      </c>
      <c r="E13" s="5">
        <v>43.59</v>
      </c>
      <c r="F13" s="5">
        <v>5.33</v>
      </c>
      <c r="G13" s="5">
        <v>3.99</v>
      </c>
      <c r="H13" s="5">
        <v>1.0</v>
      </c>
      <c r="I13" s="5">
        <v>12.36</v>
      </c>
      <c r="J13" s="5">
        <v>0.16</v>
      </c>
      <c r="K13" s="5">
        <v>3.05</v>
      </c>
      <c r="L13" s="5">
        <v>0.84</v>
      </c>
      <c r="M13" s="5">
        <v>2.6</v>
      </c>
      <c r="O13" s="5"/>
    </row>
    <row r="14">
      <c r="A14" s="4">
        <v>13.0</v>
      </c>
      <c r="B14" s="4" t="s">
        <v>13</v>
      </c>
      <c r="C14" s="5">
        <v>65.29</v>
      </c>
      <c r="D14" s="5">
        <v>41.13</v>
      </c>
      <c r="E14" s="5">
        <v>38.82</v>
      </c>
      <c r="F14" s="5">
        <v>3.95</v>
      </c>
      <c r="G14" s="5">
        <v>4.0</v>
      </c>
      <c r="H14" s="5">
        <v>0.1</v>
      </c>
      <c r="I14" s="5">
        <v>3.95</v>
      </c>
      <c r="J14" s="5">
        <v>0.11</v>
      </c>
      <c r="K14" s="5">
        <v>2.21</v>
      </c>
      <c r="L14" s="5">
        <v>0.43</v>
      </c>
      <c r="M14" s="5">
        <v>1.0</v>
      </c>
      <c r="O14" s="5"/>
    </row>
    <row r="15">
      <c r="A15" s="4">
        <v>14.0</v>
      </c>
      <c r="B15" s="4" t="s">
        <v>13</v>
      </c>
      <c r="C15" s="5">
        <v>59.6</v>
      </c>
      <c r="D15" s="5">
        <v>37.97</v>
      </c>
      <c r="E15" s="5">
        <v>37.14</v>
      </c>
      <c r="F15" s="5">
        <v>9.52</v>
      </c>
      <c r="G15" s="5">
        <v>3.99</v>
      </c>
      <c r="H15" s="5">
        <v>0.0</v>
      </c>
      <c r="I15" s="5">
        <v>9.52</v>
      </c>
      <c r="J15" s="5">
        <v>0.56</v>
      </c>
      <c r="K15" s="5">
        <v>2.94</v>
      </c>
      <c r="L15" s="5">
        <v>5.33</v>
      </c>
      <c r="M15" s="5">
        <v>15.7</v>
      </c>
    </row>
    <row r="16">
      <c r="A16" s="4">
        <v>15.0</v>
      </c>
      <c r="B16" s="4" t="s">
        <v>13</v>
      </c>
      <c r="C16" s="5">
        <v>69.49</v>
      </c>
      <c r="D16" s="5">
        <v>42.46</v>
      </c>
      <c r="E16" s="5">
        <v>41.33</v>
      </c>
      <c r="F16" s="5">
        <v>5.93</v>
      </c>
      <c r="G16" s="5">
        <v>3.99</v>
      </c>
      <c r="H16" s="5">
        <v>0.2</v>
      </c>
      <c r="I16" s="5">
        <v>5.93</v>
      </c>
      <c r="J16" s="5">
        <v>0.2</v>
      </c>
      <c r="K16" s="5">
        <v>2.22</v>
      </c>
      <c r="L16" s="5">
        <v>1.17</v>
      </c>
      <c r="M16" s="5">
        <v>2.6</v>
      </c>
      <c r="O16" s="5"/>
    </row>
    <row r="17" ht="15.75" customHeight="1">
      <c r="A17" s="4">
        <v>16.0</v>
      </c>
      <c r="B17" s="4" t="s">
        <v>13</v>
      </c>
      <c r="C17" s="5">
        <v>68.84</v>
      </c>
      <c r="D17" s="5">
        <v>39.37</v>
      </c>
      <c r="E17" s="5">
        <v>38.76</v>
      </c>
      <c r="F17" s="5">
        <v>4.1</v>
      </c>
      <c r="G17" s="5">
        <v>3.99</v>
      </c>
      <c r="H17" s="5">
        <v>0.2</v>
      </c>
      <c r="I17" s="5">
        <v>4.1</v>
      </c>
      <c r="J17" s="5">
        <v>0.11</v>
      </c>
      <c r="K17" s="5">
        <v>3.47</v>
      </c>
      <c r="L17" s="5">
        <v>0.43</v>
      </c>
      <c r="M17" s="5">
        <v>1.5</v>
      </c>
      <c r="O17" s="5"/>
    </row>
    <row r="18" ht="15.75" customHeight="1">
      <c r="A18" s="4">
        <v>17.0</v>
      </c>
      <c r="B18" s="4" t="s">
        <v>13</v>
      </c>
      <c r="C18" s="5">
        <v>76.16</v>
      </c>
      <c r="D18" s="5">
        <v>37.48</v>
      </c>
      <c r="E18" s="5">
        <v>35.48</v>
      </c>
      <c r="F18" s="5">
        <v>8.37</v>
      </c>
      <c r="G18" s="5">
        <v>3.99</v>
      </c>
      <c r="H18" s="5">
        <v>0.0</v>
      </c>
      <c r="I18" s="5">
        <v>8.37</v>
      </c>
      <c r="J18" s="5">
        <v>0.37</v>
      </c>
      <c r="K18" s="5">
        <v>36.88</v>
      </c>
      <c r="L18" s="5">
        <v>3.13</v>
      </c>
      <c r="M18" s="5">
        <v>115.6</v>
      </c>
      <c r="O18" s="5"/>
    </row>
    <row r="19" ht="15.75" customHeight="1">
      <c r="A19" s="4">
        <v>18.0</v>
      </c>
      <c r="B19" s="4" t="s">
        <v>13</v>
      </c>
      <c r="C19" s="5">
        <v>67.79</v>
      </c>
      <c r="D19" s="5">
        <v>38.26</v>
      </c>
      <c r="E19" s="5">
        <v>35.11</v>
      </c>
      <c r="F19" s="5">
        <v>10.79</v>
      </c>
      <c r="G19" s="5">
        <v>3.99</v>
      </c>
      <c r="H19" s="5">
        <v>0.0</v>
      </c>
      <c r="I19" s="5">
        <v>10.79</v>
      </c>
      <c r="J19" s="5">
        <v>0.58</v>
      </c>
      <c r="K19" s="5">
        <v>3.27</v>
      </c>
      <c r="L19" s="5">
        <v>6.29</v>
      </c>
      <c r="M19" s="5">
        <v>20.6</v>
      </c>
      <c r="O19" s="5"/>
    </row>
    <row r="20" ht="15.75" customHeight="1">
      <c r="A20" s="4">
        <v>19.0</v>
      </c>
      <c r="B20" s="4" t="s">
        <v>13</v>
      </c>
      <c r="C20" s="5">
        <v>88.65</v>
      </c>
      <c r="D20" s="5">
        <v>43.5</v>
      </c>
      <c r="E20" s="5">
        <v>43.49</v>
      </c>
      <c r="F20" s="5">
        <v>3.61</v>
      </c>
      <c r="G20" s="5">
        <v>4.0</v>
      </c>
      <c r="H20" s="5">
        <v>0.2</v>
      </c>
      <c r="I20" s="5">
        <v>3.61</v>
      </c>
      <c r="J20" s="5">
        <v>0.08</v>
      </c>
      <c r="K20" s="5">
        <v>1.62</v>
      </c>
      <c r="L20" s="5">
        <v>0.3</v>
      </c>
      <c r="M20" s="5">
        <v>0.5</v>
      </c>
      <c r="O20" s="5"/>
    </row>
    <row r="21" ht="15.75" customHeight="1">
      <c r="A21" s="4">
        <v>20.0</v>
      </c>
      <c r="B21" s="4" t="s">
        <v>13</v>
      </c>
      <c r="C21" s="5">
        <v>69.73</v>
      </c>
      <c r="D21" s="5">
        <v>44.91</v>
      </c>
      <c r="E21" s="5">
        <v>44.39</v>
      </c>
      <c r="F21" s="5">
        <v>13.38</v>
      </c>
      <c r="G21" s="5">
        <v>4.0</v>
      </c>
      <c r="H21" s="5">
        <v>0.0</v>
      </c>
      <c r="I21" s="5">
        <v>13.38</v>
      </c>
      <c r="J21" s="5">
        <v>0.53</v>
      </c>
      <c r="K21" s="5">
        <v>2.86</v>
      </c>
      <c r="L21" s="5">
        <v>7.15</v>
      </c>
      <c r="M21" s="5">
        <v>20.5</v>
      </c>
      <c r="O21" s="5"/>
    </row>
    <row r="22" ht="15.75" customHeight="1">
      <c r="A22" s="4">
        <v>21.0</v>
      </c>
      <c r="B22" s="4" t="s">
        <v>13</v>
      </c>
      <c r="C22" s="5">
        <v>73.71</v>
      </c>
      <c r="D22" s="5">
        <v>40.74</v>
      </c>
      <c r="E22" s="5">
        <v>37.03</v>
      </c>
      <c r="F22" s="5">
        <v>10.13</v>
      </c>
      <c r="G22" s="5">
        <v>3.98</v>
      </c>
      <c r="H22" s="5">
        <v>0.0</v>
      </c>
      <c r="I22" s="5">
        <v>10.13</v>
      </c>
      <c r="J22" s="5">
        <v>0.66</v>
      </c>
      <c r="K22" s="5">
        <v>3.13</v>
      </c>
      <c r="L22" s="5">
        <v>6.7</v>
      </c>
      <c r="M22" s="5">
        <v>21.0</v>
      </c>
      <c r="O22" s="5"/>
    </row>
    <row r="23" ht="15.75" customHeight="1">
      <c r="A23" s="4">
        <v>22.0</v>
      </c>
      <c r="B23" s="4" t="s">
        <v>13</v>
      </c>
      <c r="C23" s="5">
        <v>61.55</v>
      </c>
      <c r="D23" s="5">
        <v>38.12</v>
      </c>
      <c r="E23" s="5">
        <v>34.58</v>
      </c>
      <c r="F23" s="5">
        <v>4.69</v>
      </c>
      <c r="G23" s="5">
        <v>3.98</v>
      </c>
      <c r="H23" s="5">
        <v>0.5</v>
      </c>
      <c r="I23" s="5">
        <v>4.69</v>
      </c>
      <c r="J23" s="5">
        <v>0.13</v>
      </c>
      <c r="K23" s="5">
        <v>2.54</v>
      </c>
      <c r="L23" s="5">
        <v>0.61</v>
      </c>
      <c r="M23" s="5">
        <v>1.6</v>
      </c>
    </row>
    <row r="24" ht="15.75" customHeight="1">
      <c r="A24" s="6">
        <v>23.0</v>
      </c>
      <c r="B24" s="5" t="s">
        <v>14</v>
      </c>
      <c r="C24" s="5">
        <v>73.94</v>
      </c>
      <c r="D24" s="5">
        <v>46.6</v>
      </c>
      <c r="E24" s="5">
        <v>46.49</v>
      </c>
      <c r="F24" s="5">
        <v>6.86</v>
      </c>
      <c r="G24" s="5">
        <v>4.0</v>
      </c>
      <c r="H24" s="5">
        <v>0.2</v>
      </c>
      <c r="I24" s="5">
        <v>11.71</v>
      </c>
      <c r="J24" s="5">
        <v>0.11</v>
      </c>
      <c r="K24" s="5">
        <v>3.39</v>
      </c>
      <c r="L24" s="5">
        <v>0.77</v>
      </c>
      <c r="M24" s="5">
        <v>2.6</v>
      </c>
      <c r="O24" s="5"/>
    </row>
    <row r="25" ht="15.75" customHeight="1">
      <c r="A25" s="6">
        <v>24.0</v>
      </c>
      <c r="B25" s="5" t="s">
        <v>14</v>
      </c>
      <c r="C25" s="5">
        <v>68.4</v>
      </c>
      <c r="D25" s="5">
        <v>42.86</v>
      </c>
      <c r="E25" s="5">
        <v>41.58</v>
      </c>
      <c r="F25" s="5">
        <v>6.95</v>
      </c>
      <c r="G25" s="5">
        <v>4.0</v>
      </c>
      <c r="H25" s="5">
        <v>0.2</v>
      </c>
      <c r="I25" s="5">
        <v>6.95</v>
      </c>
      <c r="J25" s="5">
        <v>0.58</v>
      </c>
      <c r="K25" s="5">
        <v>2.97</v>
      </c>
      <c r="L25" s="5">
        <v>4.01</v>
      </c>
      <c r="M25" s="5">
        <v>11.9</v>
      </c>
      <c r="O25" s="5"/>
    </row>
    <row r="26" ht="15.75" customHeight="1">
      <c r="A26" s="6">
        <v>25.0</v>
      </c>
      <c r="B26" s="5" t="s">
        <v>14</v>
      </c>
      <c r="C26" s="5">
        <v>77.77</v>
      </c>
      <c r="D26" s="5">
        <v>50.57</v>
      </c>
      <c r="E26" s="5">
        <v>50.21</v>
      </c>
      <c r="F26" s="5">
        <v>2.68</v>
      </c>
      <c r="G26" s="5">
        <v>4.0</v>
      </c>
      <c r="H26" s="5">
        <v>0.5</v>
      </c>
      <c r="I26" s="5">
        <v>5.34</v>
      </c>
      <c r="J26" s="5">
        <v>0.14</v>
      </c>
      <c r="K26" s="5">
        <v>2.57</v>
      </c>
      <c r="L26" s="5">
        <v>0.37</v>
      </c>
      <c r="M26" s="5">
        <v>1.0</v>
      </c>
      <c r="O26" s="5"/>
    </row>
    <row r="27" ht="15.75" customHeight="1">
      <c r="A27" s="6">
        <v>26.0</v>
      </c>
      <c r="B27" s="5" t="s">
        <v>14</v>
      </c>
      <c r="C27" s="5">
        <v>71.17</v>
      </c>
      <c r="D27" s="5">
        <v>47.17</v>
      </c>
      <c r="E27" s="5">
        <v>44.65</v>
      </c>
      <c r="F27" s="5">
        <v>5.66</v>
      </c>
      <c r="G27" s="5">
        <v>3.99</v>
      </c>
      <c r="H27" s="5">
        <v>0.1</v>
      </c>
      <c r="I27" s="5">
        <v>5.66</v>
      </c>
      <c r="J27" s="5">
        <v>0.23</v>
      </c>
      <c r="K27" s="5">
        <v>2.37</v>
      </c>
      <c r="L27" s="5">
        <v>1.31</v>
      </c>
      <c r="M27" s="5">
        <v>3.1</v>
      </c>
      <c r="O27" s="5"/>
    </row>
    <row r="28" ht="15.75" customHeight="1">
      <c r="A28" s="6">
        <v>27.0</v>
      </c>
      <c r="B28" s="5" t="s">
        <v>14</v>
      </c>
      <c r="C28" s="5">
        <v>77.87</v>
      </c>
      <c r="D28" s="5">
        <v>48.72</v>
      </c>
      <c r="E28" s="5">
        <v>47.03</v>
      </c>
      <c r="F28" s="5">
        <v>3.55</v>
      </c>
      <c r="G28" s="5">
        <v>4.0</v>
      </c>
      <c r="H28" s="5">
        <v>0.6</v>
      </c>
      <c r="I28" s="5">
        <v>3.55</v>
      </c>
      <c r="J28" s="5">
        <v>0.18</v>
      </c>
      <c r="K28" s="5">
        <v>2.96</v>
      </c>
      <c r="L28" s="5">
        <v>0.65</v>
      </c>
      <c r="M28" s="5">
        <v>1.9</v>
      </c>
      <c r="O28" s="5"/>
    </row>
    <row r="29" ht="15.75" customHeight="1">
      <c r="A29" s="6">
        <v>28.0</v>
      </c>
      <c r="B29" s="5" t="s">
        <v>14</v>
      </c>
      <c r="C29" s="5">
        <v>74.91</v>
      </c>
      <c r="D29" s="5">
        <v>51.83</v>
      </c>
      <c r="E29" s="5">
        <v>50.48</v>
      </c>
      <c r="F29" s="5">
        <v>3.23</v>
      </c>
      <c r="G29" s="5">
        <v>3.99</v>
      </c>
      <c r="H29" s="5">
        <v>0.4</v>
      </c>
      <c r="I29" s="5">
        <v>8.12</v>
      </c>
      <c r="J29" s="5">
        <v>0.14</v>
      </c>
      <c r="K29" s="5">
        <v>2.39</v>
      </c>
      <c r="L29" s="5">
        <v>0.45</v>
      </c>
      <c r="M29" s="5">
        <v>1.1</v>
      </c>
      <c r="O29" s="5"/>
    </row>
    <row r="30" ht="15.75" customHeight="1">
      <c r="A30" s="6">
        <v>29.0</v>
      </c>
      <c r="B30" s="5" t="s">
        <v>14</v>
      </c>
      <c r="C30" s="5">
        <v>70.76</v>
      </c>
      <c r="D30" s="5">
        <v>43.13</v>
      </c>
      <c r="E30" s="5">
        <v>42.83</v>
      </c>
      <c r="F30" s="5">
        <v>12.15</v>
      </c>
      <c r="G30" s="5">
        <v>3.98</v>
      </c>
      <c r="H30" s="5">
        <v>0.0</v>
      </c>
      <c r="I30" s="5">
        <v>12.15</v>
      </c>
      <c r="J30" s="5">
        <v>0.6</v>
      </c>
      <c r="K30" s="5">
        <v>3.18</v>
      </c>
      <c r="L30" s="5">
        <v>7.33</v>
      </c>
      <c r="M30" s="5">
        <v>23.3</v>
      </c>
      <c r="O30" s="5"/>
    </row>
    <row r="31" ht="15.75" customHeight="1">
      <c r="A31" s="6">
        <v>30.0</v>
      </c>
      <c r="B31" s="5" t="s">
        <v>14</v>
      </c>
      <c r="C31" s="5">
        <v>78.49</v>
      </c>
      <c r="D31" s="5">
        <v>48.33</v>
      </c>
      <c r="E31" s="5">
        <v>46.64</v>
      </c>
      <c r="F31" s="5">
        <v>2.12</v>
      </c>
      <c r="G31" s="5">
        <v>4.0</v>
      </c>
      <c r="H31" s="5">
        <v>0.2</v>
      </c>
      <c r="I31" s="5">
        <v>2.12</v>
      </c>
      <c r="J31" s="5">
        <v>0.09</v>
      </c>
      <c r="K31" s="5">
        <v>2.37</v>
      </c>
      <c r="L31" s="5">
        <v>0.2</v>
      </c>
      <c r="M31" s="5">
        <v>0.5</v>
      </c>
    </row>
    <row r="32" ht="15.75" customHeight="1">
      <c r="A32" s="6">
        <v>31.0</v>
      </c>
      <c r="B32" s="5" t="s">
        <v>14</v>
      </c>
      <c r="C32" s="5">
        <v>67.96</v>
      </c>
      <c r="D32" s="5">
        <v>45.51</v>
      </c>
      <c r="E32" s="5">
        <v>44.48</v>
      </c>
      <c r="F32" s="5">
        <v>4.03</v>
      </c>
      <c r="G32" s="5">
        <v>3.99</v>
      </c>
      <c r="H32" s="5">
        <v>0.4</v>
      </c>
      <c r="I32" s="5">
        <v>4.03</v>
      </c>
      <c r="J32" s="5">
        <v>0.09</v>
      </c>
      <c r="K32" s="5">
        <v>2.58</v>
      </c>
      <c r="L32" s="5">
        <v>0.37</v>
      </c>
      <c r="M32" s="5">
        <v>1.0</v>
      </c>
    </row>
    <row r="33" ht="15.75" customHeight="1">
      <c r="A33" s="6">
        <v>32.0</v>
      </c>
      <c r="B33" s="5" t="s">
        <v>14</v>
      </c>
      <c r="C33" s="5">
        <v>74.8</v>
      </c>
      <c r="D33" s="5">
        <v>40.53</v>
      </c>
      <c r="E33" s="5">
        <v>38.33</v>
      </c>
      <c r="F33" s="5">
        <v>7.3</v>
      </c>
      <c r="G33" s="5">
        <v>3.99</v>
      </c>
      <c r="H33" s="5">
        <v>0.1</v>
      </c>
      <c r="I33" s="5">
        <v>7.3</v>
      </c>
      <c r="J33" s="5">
        <v>0.62</v>
      </c>
      <c r="K33" s="5">
        <v>3.06</v>
      </c>
      <c r="L33" s="5">
        <v>4.55</v>
      </c>
      <c r="M33" s="5">
        <v>13.9</v>
      </c>
    </row>
    <row r="34" ht="15.75" customHeight="1">
      <c r="A34" s="6">
        <v>33.0</v>
      </c>
      <c r="B34" s="5" t="s">
        <v>14</v>
      </c>
      <c r="C34" s="5">
        <v>74.08</v>
      </c>
      <c r="D34" s="5">
        <v>42.74</v>
      </c>
      <c r="E34" s="5">
        <v>39.55</v>
      </c>
      <c r="F34" s="5">
        <v>1.92</v>
      </c>
      <c r="G34" s="5">
        <v>4.0</v>
      </c>
      <c r="H34" s="5">
        <v>0.3</v>
      </c>
      <c r="I34" s="5">
        <v>8.38</v>
      </c>
      <c r="J34" s="5">
        <v>0.11</v>
      </c>
      <c r="K34" s="5">
        <v>2.26</v>
      </c>
      <c r="L34" s="5">
        <v>0.2</v>
      </c>
      <c r="M34" s="5">
        <v>0.5</v>
      </c>
    </row>
    <row r="35" ht="15.75" customHeight="1">
      <c r="A35" s="6">
        <v>34.0</v>
      </c>
      <c r="B35" s="5" t="s">
        <v>14</v>
      </c>
      <c r="C35" s="5">
        <v>75.14</v>
      </c>
      <c r="D35" s="5">
        <v>43.15</v>
      </c>
      <c r="E35" s="5">
        <v>42.2</v>
      </c>
      <c r="F35" s="5">
        <v>13.44</v>
      </c>
      <c r="G35" s="5">
        <v>3.98</v>
      </c>
      <c r="H35" s="5">
        <v>0.0</v>
      </c>
      <c r="I35" s="5">
        <v>13.44</v>
      </c>
      <c r="J35" s="5">
        <v>0.32</v>
      </c>
      <c r="K35" s="5">
        <v>21.55</v>
      </c>
      <c r="L35" s="5">
        <v>4.27</v>
      </c>
      <c r="M35" s="5">
        <v>92.0</v>
      </c>
    </row>
    <row r="36" ht="15.75" customHeight="1">
      <c r="A36" s="6">
        <v>35.0</v>
      </c>
      <c r="B36" s="5" t="s">
        <v>14</v>
      </c>
      <c r="C36" s="5">
        <v>71.16</v>
      </c>
      <c r="D36" s="5">
        <v>46.14</v>
      </c>
      <c r="E36" s="5">
        <v>43.52</v>
      </c>
      <c r="F36" s="5">
        <v>4.11</v>
      </c>
      <c r="G36" s="5">
        <v>3.99</v>
      </c>
      <c r="H36" s="5">
        <v>0.3</v>
      </c>
      <c r="I36" s="5">
        <v>8.16</v>
      </c>
      <c r="J36" s="5">
        <v>0.12</v>
      </c>
      <c r="K36" s="5">
        <v>2.49</v>
      </c>
      <c r="L36" s="5">
        <v>0.51</v>
      </c>
      <c r="M36" s="5">
        <v>1.3</v>
      </c>
    </row>
    <row r="37" ht="15.75" customHeight="1">
      <c r="A37" s="6">
        <v>36.0</v>
      </c>
      <c r="B37" s="5" t="s">
        <v>14</v>
      </c>
      <c r="C37" s="5">
        <v>61.56</v>
      </c>
      <c r="D37" s="5">
        <v>49.78</v>
      </c>
      <c r="E37" s="5">
        <v>44.69</v>
      </c>
      <c r="F37" s="5">
        <v>11.46</v>
      </c>
      <c r="G37" s="5">
        <v>3.99</v>
      </c>
      <c r="H37" s="5">
        <v>0.1</v>
      </c>
      <c r="I37" s="5">
        <v>11.46</v>
      </c>
      <c r="J37" s="5">
        <v>0.56</v>
      </c>
      <c r="K37" s="5">
        <v>2.99</v>
      </c>
      <c r="L37" s="5">
        <v>6.47</v>
      </c>
      <c r="M37" s="5">
        <v>19.4</v>
      </c>
    </row>
    <row r="38" ht="15.75" customHeight="1">
      <c r="A38" s="6">
        <v>37.0</v>
      </c>
      <c r="B38" s="5" t="s">
        <v>14</v>
      </c>
      <c r="C38" s="5">
        <v>73.12</v>
      </c>
      <c r="D38" s="5">
        <v>43.91</v>
      </c>
      <c r="E38" s="5">
        <v>43.59</v>
      </c>
      <c r="F38" s="5">
        <v>4.24</v>
      </c>
      <c r="G38" s="5">
        <v>3.95</v>
      </c>
      <c r="H38" s="5">
        <v>0.1</v>
      </c>
      <c r="I38" s="5">
        <v>4.24</v>
      </c>
      <c r="J38" s="5">
        <v>0.12</v>
      </c>
      <c r="K38" s="5">
        <v>3.21</v>
      </c>
      <c r="L38" s="5">
        <v>0.5</v>
      </c>
      <c r="M38" s="5">
        <v>1.6</v>
      </c>
    </row>
    <row r="39" ht="15.75" customHeight="1">
      <c r="A39" s="6">
        <v>38.0</v>
      </c>
      <c r="B39" s="5" t="s">
        <v>14</v>
      </c>
      <c r="C39" s="5">
        <v>70.45</v>
      </c>
      <c r="D39" s="5">
        <v>44.95</v>
      </c>
      <c r="E39" s="5">
        <v>44.52</v>
      </c>
      <c r="F39" s="5">
        <v>7.38</v>
      </c>
      <c r="G39" s="5">
        <v>4.0</v>
      </c>
      <c r="H39" s="5">
        <v>0.2</v>
      </c>
      <c r="I39" s="5">
        <v>7.38</v>
      </c>
      <c r="J39" s="5">
        <v>0.19</v>
      </c>
      <c r="K39" s="5">
        <v>2.39</v>
      </c>
      <c r="L39" s="5">
        <v>1.39</v>
      </c>
      <c r="M39" s="5">
        <v>3.3</v>
      </c>
    </row>
    <row r="40" ht="15.75" customHeight="1">
      <c r="A40" s="6">
        <v>39.0</v>
      </c>
      <c r="B40" s="5" t="s">
        <v>14</v>
      </c>
      <c r="C40" s="5">
        <v>68.44</v>
      </c>
      <c r="D40" s="5">
        <v>40.89</v>
      </c>
      <c r="E40" s="5">
        <v>39.95</v>
      </c>
      <c r="F40" s="5">
        <v>5.0</v>
      </c>
      <c r="G40" s="5">
        <v>3.99</v>
      </c>
      <c r="H40" s="5">
        <v>0.0</v>
      </c>
      <c r="I40" s="5">
        <v>5.0</v>
      </c>
      <c r="J40" s="5">
        <v>0.15</v>
      </c>
      <c r="K40" s="5">
        <v>2.26</v>
      </c>
      <c r="L40" s="5">
        <v>0.76</v>
      </c>
      <c r="M40" s="5">
        <v>1.7</v>
      </c>
    </row>
    <row r="41" ht="15.75" customHeight="1">
      <c r="A41" s="6">
        <v>40.0</v>
      </c>
      <c r="B41" s="5" t="s">
        <v>14</v>
      </c>
      <c r="C41" s="5">
        <v>72.96</v>
      </c>
      <c r="D41" s="5">
        <v>36.24</v>
      </c>
      <c r="E41" s="5">
        <v>36.02</v>
      </c>
      <c r="F41" s="5">
        <v>7.01</v>
      </c>
      <c r="G41" s="5">
        <v>4.0</v>
      </c>
      <c r="H41" s="5">
        <v>0.0</v>
      </c>
      <c r="I41" s="5">
        <v>7.01</v>
      </c>
      <c r="J41" s="5">
        <v>0.61</v>
      </c>
      <c r="K41" s="5">
        <v>3.22</v>
      </c>
      <c r="L41" s="5">
        <v>4.26</v>
      </c>
      <c r="M41" s="5">
        <v>13.7</v>
      </c>
    </row>
    <row r="42" ht="15.75" customHeight="1">
      <c r="A42" s="6">
        <v>41.0</v>
      </c>
      <c r="B42" s="5" t="s">
        <v>14</v>
      </c>
      <c r="C42" s="5">
        <v>73.36</v>
      </c>
      <c r="D42" s="5">
        <v>47.97</v>
      </c>
      <c r="E42" s="5">
        <v>46.31</v>
      </c>
      <c r="F42" s="5">
        <v>3.96</v>
      </c>
      <c r="G42" s="5">
        <v>4.0</v>
      </c>
      <c r="H42" s="5">
        <v>0.7</v>
      </c>
      <c r="I42" s="5">
        <v>3.96</v>
      </c>
      <c r="J42" s="5">
        <v>0.08</v>
      </c>
      <c r="K42" s="5">
        <v>2.81</v>
      </c>
      <c r="L42" s="5">
        <v>0.33</v>
      </c>
      <c r="M42" s="5">
        <v>0.9</v>
      </c>
    </row>
    <row r="43" ht="15.75" customHeight="1">
      <c r="A43" s="6">
        <v>42.0</v>
      </c>
      <c r="B43" s="5" t="s">
        <v>14</v>
      </c>
      <c r="C43" s="5">
        <v>77.24</v>
      </c>
      <c r="D43" s="5">
        <v>47.11</v>
      </c>
      <c r="E43" s="5">
        <v>46.42</v>
      </c>
      <c r="F43" s="5">
        <v>3.1</v>
      </c>
      <c r="G43" s="5">
        <v>4.0</v>
      </c>
      <c r="H43" s="5">
        <v>0.5</v>
      </c>
      <c r="I43" s="5">
        <v>11.03</v>
      </c>
      <c r="J43" s="5">
        <v>0.1</v>
      </c>
      <c r="K43" s="5">
        <v>2.75</v>
      </c>
      <c r="L43" s="5">
        <v>0.31</v>
      </c>
      <c r="M43" s="5">
        <v>0.8</v>
      </c>
    </row>
    <row r="44" ht="15.75" customHeight="1">
      <c r="A44" s="6">
        <v>43.0</v>
      </c>
      <c r="B44" s="5" t="s">
        <v>14</v>
      </c>
      <c r="C44" s="5">
        <v>71.57</v>
      </c>
      <c r="D44" s="5">
        <v>39.81</v>
      </c>
      <c r="E44" s="5">
        <v>39.55</v>
      </c>
      <c r="F44" s="5">
        <v>4.61</v>
      </c>
      <c r="G44" s="5">
        <v>4.0</v>
      </c>
      <c r="H44" s="5">
        <v>0.1</v>
      </c>
      <c r="I44" s="5">
        <v>4.61</v>
      </c>
      <c r="J44" s="5">
        <v>0.19</v>
      </c>
      <c r="K44" s="5">
        <v>3.13</v>
      </c>
      <c r="L44" s="5">
        <v>0.87</v>
      </c>
      <c r="M44" s="5">
        <v>2.7</v>
      </c>
    </row>
    <row r="45" ht="15.75" customHeight="1">
      <c r="A45" s="6">
        <v>44.0</v>
      </c>
      <c r="B45" s="5" t="s">
        <v>14</v>
      </c>
      <c r="C45" s="5">
        <v>69.5</v>
      </c>
      <c r="D45" s="5">
        <v>45.8</v>
      </c>
      <c r="E45" s="5">
        <v>42.52</v>
      </c>
      <c r="F45" s="5">
        <v>7.2</v>
      </c>
      <c r="G45" s="5">
        <v>3.99</v>
      </c>
      <c r="H45" s="5">
        <v>0.0</v>
      </c>
      <c r="I45" s="5">
        <v>7.2</v>
      </c>
      <c r="J45" s="5">
        <v>0.58</v>
      </c>
      <c r="K45" s="5">
        <v>3.01</v>
      </c>
      <c r="L45" s="5">
        <v>4.14</v>
      </c>
      <c r="M45" s="5">
        <v>12.5</v>
      </c>
    </row>
    <row r="46" ht="15.75" customHeight="1">
      <c r="A46" s="6">
        <v>45.0</v>
      </c>
      <c r="B46" s="5" t="s">
        <v>15</v>
      </c>
      <c r="C46" s="5">
        <v>81.96</v>
      </c>
      <c r="D46" s="5">
        <v>49.28</v>
      </c>
      <c r="E46" s="5">
        <v>48.08</v>
      </c>
      <c r="F46" s="5">
        <v>2.48</v>
      </c>
      <c r="G46" s="5">
        <v>3.99</v>
      </c>
      <c r="H46" s="5">
        <v>0.2</v>
      </c>
      <c r="I46" s="5">
        <v>2.48</v>
      </c>
      <c r="J46" s="5">
        <v>0.12</v>
      </c>
      <c r="K46" s="5">
        <v>2.43</v>
      </c>
      <c r="L46" s="5">
        <v>0.31</v>
      </c>
      <c r="M46" s="5">
        <v>0.7</v>
      </c>
    </row>
    <row r="47" ht="15.75" customHeight="1">
      <c r="A47" s="6">
        <v>46.0</v>
      </c>
      <c r="B47" s="5" t="s">
        <v>15</v>
      </c>
      <c r="C47" s="5">
        <v>72.41</v>
      </c>
      <c r="D47" s="5">
        <v>48.68</v>
      </c>
      <c r="E47" s="5">
        <v>47.46</v>
      </c>
      <c r="F47" s="5">
        <v>5.64</v>
      </c>
      <c r="G47" s="5">
        <v>4.0</v>
      </c>
      <c r="H47" s="5">
        <v>0.1</v>
      </c>
      <c r="I47" s="5">
        <v>5.64</v>
      </c>
      <c r="J47" s="5">
        <v>0.64</v>
      </c>
      <c r="K47" s="5">
        <v>3.11</v>
      </c>
      <c r="L47" s="5">
        <v>3.63</v>
      </c>
      <c r="M47" s="5">
        <v>11.3</v>
      </c>
    </row>
    <row r="48" ht="15.75" customHeight="1">
      <c r="A48" s="6">
        <v>47.0</v>
      </c>
      <c r="B48" s="5" t="s">
        <v>15</v>
      </c>
      <c r="C48" s="5">
        <v>80.09</v>
      </c>
      <c r="D48" s="5">
        <v>50.83</v>
      </c>
      <c r="E48" s="5">
        <v>50.65</v>
      </c>
      <c r="F48" s="5">
        <v>6.63</v>
      </c>
      <c r="G48" s="5">
        <v>3.99</v>
      </c>
      <c r="H48" s="5">
        <v>0.0</v>
      </c>
      <c r="I48" s="5">
        <v>6.63</v>
      </c>
      <c r="J48" s="5">
        <v>0.25</v>
      </c>
      <c r="K48" s="5">
        <v>2.21</v>
      </c>
      <c r="L48" s="5">
        <v>1.66</v>
      </c>
      <c r="M48" s="5">
        <v>3.7</v>
      </c>
    </row>
    <row r="49" ht="15.75" customHeight="1">
      <c r="A49" s="6">
        <v>48.0</v>
      </c>
      <c r="B49" s="5" t="s">
        <v>15</v>
      </c>
      <c r="C49" s="5">
        <v>81.49</v>
      </c>
      <c r="D49" s="5">
        <v>48.85</v>
      </c>
      <c r="E49" s="5">
        <v>48.52</v>
      </c>
      <c r="F49" s="5">
        <v>6.74</v>
      </c>
      <c r="G49" s="5">
        <v>4.0</v>
      </c>
      <c r="H49" s="5">
        <v>0.2</v>
      </c>
      <c r="I49" s="5">
        <v>6.74</v>
      </c>
      <c r="J49" s="5">
        <v>0.34</v>
      </c>
      <c r="K49" s="5">
        <v>2.39</v>
      </c>
      <c r="L49" s="5">
        <v>2.29</v>
      </c>
      <c r="M49" s="5">
        <v>5.5</v>
      </c>
    </row>
    <row r="50" ht="15.75" customHeight="1">
      <c r="A50" s="6">
        <v>49.0</v>
      </c>
      <c r="B50" s="5" t="s">
        <v>15</v>
      </c>
      <c r="C50" s="5">
        <v>70.99</v>
      </c>
      <c r="D50" s="5">
        <v>46.39</v>
      </c>
      <c r="E50" s="5">
        <v>44.6</v>
      </c>
      <c r="F50" s="5">
        <v>6.74</v>
      </c>
      <c r="G50" s="5">
        <v>3.99</v>
      </c>
      <c r="H50" s="5">
        <v>0.2</v>
      </c>
      <c r="I50" s="5">
        <v>6.74</v>
      </c>
      <c r="J50" s="5">
        <v>0.25</v>
      </c>
      <c r="K50" s="5">
        <v>2.54</v>
      </c>
      <c r="L50" s="5">
        <v>1.65</v>
      </c>
      <c r="M50" s="5">
        <v>4.2</v>
      </c>
    </row>
    <row r="51" ht="15.75" customHeight="1">
      <c r="A51" s="6">
        <v>50.0</v>
      </c>
      <c r="B51" s="5" t="s">
        <v>15</v>
      </c>
      <c r="C51" s="5">
        <v>75.26</v>
      </c>
      <c r="D51" s="5">
        <v>47.26</v>
      </c>
      <c r="E51" s="5">
        <v>45.6</v>
      </c>
      <c r="F51" s="5">
        <v>3.19</v>
      </c>
      <c r="G51" s="5">
        <v>3.99</v>
      </c>
      <c r="H51" s="5">
        <v>0.1</v>
      </c>
      <c r="I51" s="5">
        <v>3.19</v>
      </c>
      <c r="J51" s="5">
        <v>0.11</v>
      </c>
      <c r="K51" s="5">
        <v>2.15</v>
      </c>
      <c r="L51" s="5">
        <v>0.37</v>
      </c>
      <c r="M51" s="5">
        <v>0.8</v>
      </c>
    </row>
    <row r="52" ht="15.75" customHeight="1">
      <c r="A52" s="6">
        <v>51.0</v>
      </c>
      <c r="B52" s="5" t="s">
        <v>15</v>
      </c>
      <c r="C52" s="5">
        <v>79.75</v>
      </c>
      <c r="D52" s="5">
        <v>49.49</v>
      </c>
      <c r="E52" s="5">
        <v>48.9</v>
      </c>
      <c r="F52" s="5">
        <v>1.65</v>
      </c>
      <c r="G52" s="5">
        <v>4.0</v>
      </c>
      <c r="H52" s="5">
        <v>0.6</v>
      </c>
      <c r="I52" s="5">
        <v>6.31</v>
      </c>
      <c r="J52" s="5">
        <v>0.11</v>
      </c>
      <c r="K52" s="5">
        <v>3.29</v>
      </c>
      <c r="L52" s="5">
        <v>0.19</v>
      </c>
      <c r="M52" s="5">
        <v>0.6</v>
      </c>
    </row>
    <row r="53" ht="15.75" customHeight="1">
      <c r="A53" s="6">
        <v>52.0</v>
      </c>
      <c r="B53" s="5" t="s">
        <v>15</v>
      </c>
      <c r="C53" s="5">
        <v>78.1</v>
      </c>
      <c r="D53" s="5">
        <v>50.8</v>
      </c>
      <c r="E53" s="5">
        <v>50.26</v>
      </c>
      <c r="F53" s="5">
        <v>1.59</v>
      </c>
      <c r="G53" s="5">
        <v>4.0</v>
      </c>
      <c r="H53" s="5">
        <v>0.4</v>
      </c>
      <c r="I53" s="5">
        <v>6.62</v>
      </c>
      <c r="J53" s="5">
        <v>0.04</v>
      </c>
      <c r="K53" s="5">
        <v>1.82</v>
      </c>
      <c r="L53" s="5">
        <v>0.07</v>
      </c>
      <c r="M53" s="5">
        <v>0.1</v>
      </c>
    </row>
    <row r="54" ht="15.75" customHeight="1">
      <c r="A54" s="6">
        <v>53.0</v>
      </c>
      <c r="B54" s="5" t="s">
        <v>15</v>
      </c>
      <c r="C54" s="5">
        <v>75.08</v>
      </c>
      <c r="D54" s="5">
        <v>47.69</v>
      </c>
      <c r="E54" s="5">
        <v>47.71</v>
      </c>
      <c r="F54" s="5">
        <v>1.31</v>
      </c>
      <c r="G54" s="5">
        <v>3.99</v>
      </c>
      <c r="H54" s="5">
        <v>0.5</v>
      </c>
      <c r="I54" s="5">
        <v>4.66</v>
      </c>
      <c r="J54" s="5">
        <v>0.07</v>
      </c>
      <c r="K54" s="5">
        <v>2.36</v>
      </c>
      <c r="L54" s="5">
        <v>0.09</v>
      </c>
      <c r="M54" s="5">
        <v>0.2</v>
      </c>
    </row>
    <row r="55" ht="15.75" customHeight="1">
      <c r="A55" s="6">
        <v>54.0</v>
      </c>
      <c r="B55" s="5" t="s">
        <v>15</v>
      </c>
      <c r="C55" s="5">
        <v>70.51</v>
      </c>
      <c r="D55" s="5">
        <v>46.76</v>
      </c>
      <c r="E55" s="5">
        <v>44.21</v>
      </c>
      <c r="F55" s="5">
        <v>1.35</v>
      </c>
      <c r="G55" s="5">
        <v>3.99</v>
      </c>
      <c r="H55" s="5">
        <v>0.6</v>
      </c>
      <c r="I55" s="5">
        <v>1.35</v>
      </c>
      <c r="J55" s="5">
        <v>0.05</v>
      </c>
      <c r="K55" s="5">
        <v>1.96</v>
      </c>
      <c r="L55" s="5">
        <v>0.06</v>
      </c>
      <c r="M55" s="5">
        <v>0.1</v>
      </c>
    </row>
    <row r="56" ht="15.75" customHeight="1">
      <c r="A56" s="6">
        <v>55.0</v>
      </c>
      <c r="B56" s="5" t="s">
        <v>15</v>
      </c>
      <c r="C56" s="5">
        <v>79.88</v>
      </c>
      <c r="D56" s="5">
        <v>48.88</v>
      </c>
      <c r="E56" s="5">
        <v>46.55</v>
      </c>
      <c r="F56" s="5">
        <v>1.29</v>
      </c>
      <c r="G56" s="5">
        <v>4.0</v>
      </c>
      <c r="H56" s="5">
        <v>0.4</v>
      </c>
      <c r="I56" s="5">
        <v>5.04</v>
      </c>
      <c r="J56" s="5">
        <v>0.08</v>
      </c>
      <c r="K56" s="5">
        <v>2.71</v>
      </c>
      <c r="L56" s="5">
        <v>0.1</v>
      </c>
      <c r="M56" s="5">
        <v>0.3</v>
      </c>
    </row>
    <row r="57" ht="15.75" customHeight="1">
      <c r="A57" s="6">
        <v>56.0</v>
      </c>
      <c r="B57" s="5" t="s">
        <v>15</v>
      </c>
      <c r="C57" s="5">
        <v>84.59</v>
      </c>
      <c r="D57" s="5">
        <v>57.21</v>
      </c>
      <c r="E57" s="5">
        <v>55.3</v>
      </c>
      <c r="F57" s="5">
        <v>1.61</v>
      </c>
      <c r="G57" s="5">
        <v>4.0</v>
      </c>
      <c r="H57" s="5">
        <v>0.1</v>
      </c>
      <c r="I57" s="5">
        <v>1.61</v>
      </c>
      <c r="J57" s="5">
        <v>0.1</v>
      </c>
      <c r="K57" s="5">
        <v>2.0</v>
      </c>
      <c r="L57" s="5">
        <v>0.17</v>
      </c>
      <c r="M57" s="5">
        <v>0.3</v>
      </c>
    </row>
    <row r="58" ht="15.75" customHeight="1">
      <c r="A58" s="6">
        <v>57.0</v>
      </c>
      <c r="B58" s="5" t="s">
        <v>15</v>
      </c>
      <c r="C58" s="5">
        <v>77.15</v>
      </c>
      <c r="D58" s="5">
        <v>48.81</v>
      </c>
      <c r="E58" s="5">
        <v>48.07</v>
      </c>
      <c r="F58" s="5">
        <v>3.5</v>
      </c>
      <c r="G58" s="5">
        <v>3.99</v>
      </c>
      <c r="H58" s="5">
        <v>0.1</v>
      </c>
      <c r="I58" s="5">
        <v>3.5</v>
      </c>
      <c r="J58" s="5">
        <v>0.17</v>
      </c>
      <c r="K58" s="5">
        <v>2.21</v>
      </c>
      <c r="L58" s="5">
        <v>0.59</v>
      </c>
      <c r="M58" s="5">
        <v>1.3</v>
      </c>
    </row>
    <row r="59" ht="15.75" customHeight="1">
      <c r="A59" s="6">
        <v>58.0</v>
      </c>
      <c r="B59" s="5" t="s">
        <v>15</v>
      </c>
      <c r="C59" s="5">
        <v>77.78</v>
      </c>
      <c r="D59" s="5">
        <v>45.68</v>
      </c>
      <c r="E59" s="5">
        <v>45.32</v>
      </c>
      <c r="F59" s="5">
        <v>2.54</v>
      </c>
      <c r="G59" s="5">
        <v>3.99</v>
      </c>
      <c r="H59" s="5">
        <v>0.1</v>
      </c>
      <c r="I59" s="5">
        <v>2.54</v>
      </c>
      <c r="J59" s="5">
        <v>0.13</v>
      </c>
      <c r="K59" s="5">
        <v>2.48</v>
      </c>
      <c r="L59" s="5">
        <v>0.33</v>
      </c>
      <c r="M59" s="5">
        <v>0.8</v>
      </c>
    </row>
    <row r="60" ht="15.75" customHeight="1">
      <c r="A60" s="6">
        <v>59.0</v>
      </c>
      <c r="B60" s="5" t="s">
        <v>15</v>
      </c>
      <c r="C60" s="5">
        <v>80.14</v>
      </c>
      <c r="D60" s="6">
        <v>49.0</v>
      </c>
      <c r="E60" s="5">
        <v>48.85</v>
      </c>
      <c r="F60" s="5">
        <v>11.19</v>
      </c>
      <c r="G60" s="5">
        <v>3.99</v>
      </c>
      <c r="H60" s="5">
        <v>0.0</v>
      </c>
      <c r="I60" s="5">
        <v>11.19</v>
      </c>
      <c r="J60" s="5">
        <v>0.47</v>
      </c>
      <c r="K60" s="5">
        <v>3.02</v>
      </c>
      <c r="L60" s="5">
        <v>5.27</v>
      </c>
      <c r="M60" s="5">
        <v>15.9</v>
      </c>
    </row>
    <row r="61" ht="15.75" customHeight="1">
      <c r="A61" s="6">
        <v>60.0</v>
      </c>
      <c r="B61" s="5" t="s">
        <v>15</v>
      </c>
      <c r="C61" s="5">
        <v>71.32</v>
      </c>
      <c r="D61" s="5">
        <v>47.85</v>
      </c>
      <c r="E61" s="5">
        <v>43.75</v>
      </c>
      <c r="F61" s="5">
        <v>1.93</v>
      </c>
      <c r="G61" s="5">
        <v>4.0</v>
      </c>
      <c r="H61" s="5">
        <v>0.1</v>
      </c>
      <c r="I61" s="5">
        <v>1.93</v>
      </c>
      <c r="J61" s="5">
        <v>0.21</v>
      </c>
      <c r="K61" s="5">
        <v>3.45</v>
      </c>
      <c r="L61" s="5">
        <v>0.41</v>
      </c>
      <c r="M61" s="5">
        <v>1.4</v>
      </c>
    </row>
    <row r="62" ht="15.75" customHeight="1">
      <c r="A62" s="6">
        <v>61.0</v>
      </c>
      <c r="B62" s="5" t="s">
        <v>15</v>
      </c>
      <c r="C62" s="5">
        <v>82.81</v>
      </c>
      <c r="D62" s="5">
        <v>54.54</v>
      </c>
      <c r="E62" s="5">
        <v>54.45</v>
      </c>
      <c r="F62" s="5">
        <v>0.92</v>
      </c>
      <c r="G62" s="5">
        <v>3.99</v>
      </c>
      <c r="H62" s="5">
        <v>0.2</v>
      </c>
      <c r="I62" s="5">
        <v>0.92</v>
      </c>
      <c r="J62" s="5">
        <v>0.03</v>
      </c>
      <c r="K62" s="5">
        <v>2.08</v>
      </c>
      <c r="L62" s="5">
        <v>0.03</v>
      </c>
      <c r="M62" s="5">
        <v>0.1</v>
      </c>
    </row>
    <row r="63" ht="15.75" customHeight="1">
      <c r="A63" s="6">
        <v>62.0</v>
      </c>
      <c r="B63" s="5" t="s">
        <v>15</v>
      </c>
      <c r="C63" s="5">
        <v>79.04</v>
      </c>
      <c r="D63" s="5">
        <v>51.33</v>
      </c>
      <c r="E63" s="5">
        <v>51.3</v>
      </c>
      <c r="F63" s="5">
        <v>1.63</v>
      </c>
      <c r="G63" s="5">
        <v>3.99</v>
      </c>
      <c r="H63" s="5">
        <v>0.6</v>
      </c>
      <c r="I63" s="5">
        <v>1.63</v>
      </c>
      <c r="J63" s="5">
        <v>0.08</v>
      </c>
      <c r="K63" s="5">
        <v>2.43</v>
      </c>
      <c r="L63" s="5">
        <v>0.13</v>
      </c>
      <c r="M63" s="5">
        <v>0.3</v>
      </c>
    </row>
    <row r="64" ht="15.75" customHeight="1">
      <c r="A64" s="6">
        <v>63.0</v>
      </c>
      <c r="B64" s="5" t="s">
        <v>15</v>
      </c>
      <c r="C64" s="5">
        <v>75.87</v>
      </c>
      <c r="D64" s="5">
        <v>48.06</v>
      </c>
      <c r="E64" s="5">
        <v>45.39</v>
      </c>
      <c r="F64" s="5">
        <v>4.17</v>
      </c>
      <c r="G64" s="5">
        <v>4.0</v>
      </c>
      <c r="H64" s="5">
        <v>0.3</v>
      </c>
      <c r="I64" s="5">
        <v>8.81</v>
      </c>
      <c r="J64" s="5">
        <v>0.11</v>
      </c>
      <c r="K64" s="5">
        <v>2.22</v>
      </c>
      <c r="L64" s="5">
        <v>2.22</v>
      </c>
      <c r="M64" s="5">
        <v>1.0</v>
      </c>
    </row>
    <row r="65" ht="15.75" customHeight="1">
      <c r="A65" s="6">
        <v>64.0</v>
      </c>
      <c r="B65" s="5" t="s">
        <v>15</v>
      </c>
      <c r="C65" s="5">
        <v>81.69</v>
      </c>
      <c r="D65" s="5">
        <v>48.19</v>
      </c>
      <c r="E65" s="5">
        <v>47.44</v>
      </c>
      <c r="F65" s="5">
        <v>1.42</v>
      </c>
      <c r="G65" s="5">
        <v>4.0</v>
      </c>
      <c r="H65" s="5">
        <v>0.2</v>
      </c>
      <c r="I65" s="5">
        <v>1.42</v>
      </c>
      <c r="J65" s="5">
        <v>0.0</v>
      </c>
      <c r="K65" s="5">
        <v>2.0</v>
      </c>
      <c r="L65" s="5">
        <v>0.0</v>
      </c>
      <c r="M65" s="5">
        <v>0.0</v>
      </c>
    </row>
    <row r="66" ht="15.75" customHeight="1">
      <c r="A66" s="6">
        <v>65.0</v>
      </c>
      <c r="B66" s="5" t="s">
        <v>15</v>
      </c>
      <c r="C66" s="5">
        <v>77.48</v>
      </c>
      <c r="D66" s="5">
        <v>54.94</v>
      </c>
      <c r="E66" s="5">
        <v>54.5</v>
      </c>
      <c r="F66" s="5">
        <v>1.61</v>
      </c>
      <c r="G66" s="5">
        <v>4.0</v>
      </c>
      <c r="H66" s="5">
        <v>0.2</v>
      </c>
      <c r="I66" s="5">
        <v>1.61</v>
      </c>
      <c r="J66" s="5">
        <v>0.1</v>
      </c>
      <c r="K66" s="5">
        <v>2.49</v>
      </c>
      <c r="L66" s="5">
        <v>0.16</v>
      </c>
      <c r="M66" s="5">
        <v>0.4</v>
      </c>
    </row>
    <row r="67" ht="15.75" customHeight="1">
      <c r="A67" s="6">
        <v>66.0</v>
      </c>
      <c r="B67" s="5" t="s">
        <v>15</v>
      </c>
      <c r="C67" s="5">
        <v>76.97</v>
      </c>
      <c r="D67" s="5">
        <v>47.29</v>
      </c>
      <c r="E67" s="5">
        <v>47.26</v>
      </c>
      <c r="F67" s="5">
        <v>1.07</v>
      </c>
      <c r="G67" s="5">
        <v>3.99</v>
      </c>
      <c r="H67" s="5">
        <v>0.1</v>
      </c>
      <c r="I67" s="5">
        <v>1.07</v>
      </c>
      <c r="J67" s="5">
        <v>0.05</v>
      </c>
      <c r="K67" s="5">
        <v>2.09</v>
      </c>
      <c r="L67" s="5">
        <v>0.05</v>
      </c>
      <c r="M67" s="5">
        <v>0.1</v>
      </c>
    </row>
    <row r="68" ht="15.75" customHeight="1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5.75" customHeight="1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5.75" customHeight="1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5.75" customHeight="1">
      <c r="A71" s="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5.75" customHeight="1">
      <c r="A72" s="6"/>
      <c r="C72" s="6"/>
      <c r="D72" s="6"/>
      <c r="E72" s="6"/>
    </row>
    <row r="73" ht="15.75" customHeight="1">
      <c r="A73" s="6"/>
      <c r="C73" s="6"/>
      <c r="D73" s="6"/>
      <c r="E73" s="6"/>
    </row>
    <row r="74" ht="15.75" customHeight="1">
      <c r="A74" s="6"/>
      <c r="C74" s="6"/>
      <c r="D74" s="6"/>
      <c r="E74" s="6"/>
    </row>
    <row r="75" ht="15.75" customHeight="1">
      <c r="A75" s="6"/>
      <c r="C75" s="6"/>
      <c r="D75" s="6"/>
      <c r="E75" s="6"/>
    </row>
    <row r="76" ht="15.75" customHeight="1">
      <c r="A76" s="6"/>
      <c r="C76" s="6"/>
      <c r="D76" s="6"/>
      <c r="E76" s="6"/>
    </row>
    <row r="77" ht="15.75" customHeight="1">
      <c r="A77" s="6"/>
      <c r="C77" s="6"/>
      <c r="D77" s="6"/>
      <c r="E77" s="6"/>
    </row>
    <row r="78" ht="15.75" customHeight="1">
      <c r="A78" s="6"/>
      <c r="C78" s="6"/>
      <c r="D78" s="6"/>
      <c r="E78" s="6"/>
    </row>
    <row r="79" ht="15.75" customHeight="1">
      <c r="A79" s="6"/>
      <c r="C79" s="6"/>
      <c r="D79" s="6"/>
      <c r="E79" s="6"/>
    </row>
    <row r="80" ht="15.75" customHeight="1">
      <c r="A80" s="6"/>
      <c r="C80" s="6"/>
      <c r="D80" s="6"/>
      <c r="E80" s="6"/>
    </row>
    <row r="81" ht="15.75" customHeight="1">
      <c r="A81" s="6"/>
      <c r="C81" s="6"/>
      <c r="D81" s="6"/>
      <c r="E81" s="6"/>
    </row>
    <row r="82" ht="15.75" customHeight="1">
      <c r="A82" s="6"/>
      <c r="C82" s="6"/>
      <c r="D82" s="6"/>
      <c r="E82" s="6"/>
    </row>
    <row r="83" ht="15.75" customHeight="1">
      <c r="A83" s="6"/>
      <c r="C83" s="6"/>
      <c r="D83" s="6"/>
      <c r="E83" s="6"/>
    </row>
    <row r="84" ht="15.75" customHeight="1">
      <c r="A84" s="6"/>
      <c r="C84" s="6"/>
      <c r="D84" s="6"/>
      <c r="E84" s="6"/>
    </row>
    <row r="85" ht="15.75" customHeight="1">
      <c r="A85" s="6"/>
      <c r="C85" s="6"/>
      <c r="D85" s="6"/>
      <c r="E85" s="6"/>
    </row>
    <row r="86" ht="15.75" customHeight="1">
      <c r="A86" s="6"/>
      <c r="C86" s="6"/>
      <c r="D86" s="6"/>
      <c r="E86" s="6"/>
    </row>
    <row r="87" ht="15.75" customHeight="1">
      <c r="A87" s="6"/>
      <c r="C87" s="6"/>
      <c r="D87" s="6"/>
      <c r="E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0.71"/>
    <col customWidth="1" min="3" max="3" width="12.71"/>
    <col customWidth="1" min="4" max="4" width="7.14"/>
    <col customWidth="1" min="5" max="5" width="9.57"/>
    <col customWidth="1" min="6" max="7" width="8.0"/>
    <col customWidth="1" min="8" max="8" width="20.57"/>
    <col customWidth="1" min="9" max="9" width="12.29"/>
    <col customWidth="1" min="10" max="10" width="13.29"/>
    <col customWidth="1" min="11" max="11" width="20.0"/>
    <col customWidth="1" min="12" max="12" width="17.43"/>
    <col customWidth="1" min="13" max="13" width="9.86"/>
    <col customWidth="1" min="14" max="14" width="17.43"/>
  </cols>
  <sheetData>
    <row r="1">
      <c r="A1" s="6" t="s">
        <v>0</v>
      </c>
      <c r="B1" s="7" t="s">
        <v>1</v>
      </c>
      <c r="C1" s="8" t="s">
        <v>2</v>
      </c>
      <c r="D1" s="8" t="s">
        <v>3</v>
      </c>
      <c r="E1" s="9" t="s">
        <v>16</v>
      </c>
      <c r="F1" s="10" t="s">
        <v>17</v>
      </c>
      <c r="G1" s="11" t="s">
        <v>18</v>
      </c>
      <c r="H1" s="12" t="s">
        <v>19</v>
      </c>
      <c r="I1" s="13" t="s">
        <v>20</v>
      </c>
      <c r="J1" s="13" t="s">
        <v>21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4">
        <v>1.0</v>
      </c>
      <c r="B2" s="7" t="s">
        <v>13</v>
      </c>
      <c r="C2" s="14">
        <v>72.89</v>
      </c>
      <c r="D2" s="14">
        <v>39.87</v>
      </c>
      <c r="E2" s="7">
        <v>37.14</v>
      </c>
      <c r="F2" s="10">
        <v>53.595</v>
      </c>
      <c r="G2" s="11">
        <f t="shared" ref="G2:G67" si="1">(4/3)*PI()*(C2/2)*(D2/2)*(E2/2)</f>
        <v>56513.82567</v>
      </c>
      <c r="H2" s="12">
        <f t="shared" ref="H2:H67" si="2">F2/G2</f>
        <v>0.000948352007</v>
      </c>
      <c r="I2" s="5">
        <f t="shared" ref="I2:I67" si="3">(D2/C2)*100</f>
        <v>54.6988613</v>
      </c>
      <c r="J2" s="5">
        <f t="shared" ref="J2:J67" si="4"> ((C2 * D2 * E2)^(1/3)) / C2</f>
        <v>0.6532068717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4">
        <v>2.0</v>
      </c>
      <c r="B3" s="7" t="s">
        <v>13</v>
      </c>
      <c r="C3" s="14">
        <v>80.62</v>
      </c>
      <c r="D3" s="14">
        <v>45.4</v>
      </c>
      <c r="E3" s="7">
        <v>45.2</v>
      </c>
      <c r="F3" s="10">
        <v>53.619</v>
      </c>
      <c r="G3" s="11">
        <f t="shared" si="1"/>
        <v>86623.49531</v>
      </c>
      <c r="H3" s="12">
        <f t="shared" si="2"/>
        <v>0.0006189891069</v>
      </c>
      <c r="I3" s="5">
        <f t="shared" si="3"/>
        <v>56.31356983</v>
      </c>
      <c r="J3" s="5">
        <f t="shared" si="4"/>
        <v>0.6809306766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4">
        <v>3.0</v>
      </c>
      <c r="B4" s="4" t="s">
        <v>13</v>
      </c>
      <c r="C4" s="14">
        <v>64.24</v>
      </c>
      <c r="D4" s="14">
        <v>38.18</v>
      </c>
      <c r="E4" s="7">
        <v>36.25</v>
      </c>
      <c r="F4" s="10">
        <v>80.07</v>
      </c>
      <c r="G4" s="11">
        <f t="shared" si="1"/>
        <v>46553.04462</v>
      </c>
      <c r="H4" s="12">
        <f t="shared" si="2"/>
        <v>0.001719973434</v>
      </c>
      <c r="I4" s="5">
        <f t="shared" si="3"/>
        <v>59.43337484</v>
      </c>
      <c r="J4" s="5">
        <f t="shared" si="4"/>
        <v>0.6947751716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4">
        <v>4.0</v>
      </c>
      <c r="B5" s="4" t="s">
        <v>13</v>
      </c>
      <c r="C5" s="14">
        <v>73.03</v>
      </c>
      <c r="D5" s="14">
        <v>43.48</v>
      </c>
      <c r="E5" s="7">
        <v>42.0</v>
      </c>
      <c r="F5" s="10">
        <v>69.843</v>
      </c>
      <c r="G5" s="11">
        <f t="shared" si="1"/>
        <v>69829.47048</v>
      </c>
      <c r="H5" s="12">
        <f t="shared" si="2"/>
        <v>0.001000193751</v>
      </c>
      <c r="I5" s="5">
        <f t="shared" si="3"/>
        <v>59.5371765</v>
      </c>
      <c r="J5" s="5">
        <f t="shared" si="4"/>
        <v>0.699592924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4">
        <v>5.0</v>
      </c>
      <c r="B6" s="4" t="s">
        <v>13</v>
      </c>
      <c r="C6" s="14">
        <v>71.2</v>
      </c>
      <c r="D6" s="14">
        <v>44.46</v>
      </c>
      <c r="E6" s="7">
        <v>41.98</v>
      </c>
      <c r="F6" s="10">
        <v>66.258</v>
      </c>
      <c r="G6" s="11">
        <f t="shared" si="1"/>
        <v>69580.97477</v>
      </c>
      <c r="H6" s="12">
        <f t="shared" si="2"/>
        <v>0.0009522430552</v>
      </c>
      <c r="I6" s="5">
        <f t="shared" si="3"/>
        <v>62.44382022</v>
      </c>
      <c r="J6" s="5">
        <f t="shared" si="4"/>
        <v>0.7167218344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4">
        <v>6.0</v>
      </c>
      <c r="B7" s="4" t="s">
        <v>13</v>
      </c>
      <c r="C7" s="14">
        <v>76.01</v>
      </c>
      <c r="D7" s="14">
        <v>42.57</v>
      </c>
      <c r="E7" s="7">
        <v>39.52</v>
      </c>
      <c r="F7" s="10">
        <v>62.048</v>
      </c>
      <c r="G7" s="11">
        <f t="shared" si="1"/>
        <v>66956.06787</v>
      </c>
      <c r="H7" s="12">
        <f t="shared" si="2"/>
        <v>0.0009266971907</v>
      </c>
      <c r="I7" s="5">
        <f t="shared" si="3"/>
        <v>56.00578871</v>
      </c>
      <c r="J7" s="5">
        <f t="shared" si="4"/>
        <v>0.6628160868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4">
        <v>7.0</v>
      </c>
      <c r="B8" s="4" t="s">
        <v>13</v>
      </c>
      <c r="C8" s="14">
        <v>86.97</v>
      </c>
      <c r="D8" s="14">
        <v>43.06</v>
      </c>
      <c r="E8" s="7">
        <v>41.7</v>
      </c>
      <c r="F8" s="10">
        <v>73.96</v>
      </c>
      <c r="G8" s="11">
        <f t="shared" si="1"/>
        <v>81767.0205</v>
      </c>
      <c r="H8" s="12">
        <f t="shared" si="2"/>
        <v>0.0009045211571</v>
      </c>
      <c r="I8" s="5">
        <f t="shared" si="3"/>
        <v>49.51132574</v>
      </c>
      <c r="J8" s="5">
        <f t="shared" si="4"/>
        <v>0.6191896858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4">
        <v>8.0</v>
      </c>
      <c r="B9" s="4" t="s">
        <v>13</v>
      </c>
      <c r="C9" s="14">
        <v>74.41</v>
      </c>
      <c r="D9" s="14">
        <v>46.94</v>
      </c>
      <c r="E9" s="7">
        <v>45.89</v>
      </c>
      <c r="F9" s="10">
        <v>83.935</v>
      </c>
      <c r="G9" s="11">
        <f t="shared" si="1"/>
        <v>83924.94587</v>
      </c>
      <c r="H9" s="12">
        <f t="shared" si="2"/>
        <v>0.001000119799</v>
      </c>
      <c r="I9" s="5">
        <f t="shared" si="3"/>
        <v>63.08291896</v>
      </c>
      <c r="J9" s="5">
        <f t="shared" si="4"/>
        <v>0.730016783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4">
        <v>9.0</v>
      </c>
      <c r="B10" s="4" t="s">
        <v>13</v>
      </c>
      <c r="C10" s="14">
        <v>73.26</v>
      </c>
      <c r="D10" s="14">
        <v>43.38</v>
      </c>
      <c r="E10" s="7">
        <v>43.17</v>
      </c>
      <c r="F10" s="10">
        <v>64.416</v>
      </c>
      <c r="G10" s="11">
        <f t="shared" si="1"/>
        <v>71835.17151</v>
      </c>
      <c r="H10" s="12">
        <f t="shared" si="2"/>
        <v>0.0008967195129</v>
      </c>
      <c r="I10" s="5">
        <f t="shared" si="3"/>
        <v>59.21375921</v>
      </c>
      <c r="J10" s="5">
        <f t="shared" si="4"/>
        <v>0.7040106935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4">
        <v>10.0</v>
      </c>
      <c r="B11" s="4" t="s">
        <v>13</v>
      </c>
      <c r="C11" s="14">
        <v>79.1</v>
      </c>
      <c r="D11" s="14">
        <v>45.29</v>
      </c>
      <c r="E11" s="7">
        <v>45.27</v>
      </c>
      <c r="F11" s="10">
        <v>84.622</v>
      </c>
      <c r="G11" s="11">
        <f t="shared" si="1"/>
        <v>84915.68571</v>
      </c>
      <c r="H11" s="12">
        <f t="shared" si="2"/>
        <v>0.0009965414433</v>
      </c>
      <c r="I11" s="5">
        <f t="shared" si="3"/>
        <v>57.25663717</v>
      </c>
      <c r="J11" s="5">
        <f t="shared" si="4"/>
        <v>0.6894243464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4">
        <v>11.0</v>
      </c>
      <c r="B12" s="4" t="s">
        <v>13</v>
      </c>
      <c r="C12" s="14">
        <v>78.69</v>
      </c>
      <c r="D12" s="14">
        <v>46.68</v>
      </c>
      <c r="E12" s="7">
        <v>46.39</v>
      </c>
      <c r="F12" s="10">
        <v>87.725</v>
      </c>
      <c r="G12" s="11">
        <f t="shared" si="1"/>
        <v>89222.29447</v>
      </c>
      <c r="H12" s="12">
        <f t="shared" si="2"/>
        <v>0.0009832183819</v>
      </c>
      <c r="I12" s="5">
        <f t="shared" si="3"/>
        <v>59.32138772</v>
      </c>
      <c r="J12" s="5">
        <f t="shared" si="4"/>
        <v>0.704539548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4">
        <v>12.0</v>
      </c>
      <c r="B13" s="4" t="s">
        <v>13</v>
      </c>
      <c r="C13" s="14">
        <v>80.56</v>
      </c>
      <c r="D13" s="14">
        <v>43.59</v>
      </c>
      <c r="E13" s="7">
        <v>46.65</v>
      </c>
      <c r="F13" s="10">
        <v>74.503</v>
      </c>
      <c r="G13" s="11">
        <f t="shared" si="1"/>
        <v>85774.18436</v>
      </c>
      <c r="H13" s="12">
        <f t="shared" si="2"/>
        <v>0.0008685946775</v>
      </c>
      <c r="I13" s="5">
        <f t="shared" si="3"/>
        <v>54.10873883</v>
      </c>
      <c r="J13" s="5">
        <f t="shared" si="4"/>
        <v>0.6792034251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4">
        <v>13.0</v>
      </c>
      <c r="B14" s="4" t="s">
        <v>13</v>
      </c>
      <c r="C14" s="14">
        <v>65.29</v>
      </c>
      <c r="D14" s="14">
        <v>41.13</v>
      </c>
      <c r="E14" s="7">
        <v>38.82</v>
      </c>
      <c r="F14" s="10">
        <v>56.419</v>
      </c>
      <c r="G14" s="11">
        <f t="shared" si="1"/>
        <v>54583.26767</v>
      </c>
      <c r="H14" s="12">
        <f t="shared" si="2"/>
        <v>0.001033631778</v>
      </c>
      <c r="I14" s="5">
        <f t="shared" si="3"/>
        <v>62.9958646</v>
      </c>
      <c r="J14" s="5">
        <f t="shared" si="4"/>
        <v>0.7208423621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4">
        <v>14.0</v>
      </c>
      <c r="B15" s="4" t="s">
        <v>13</v>
      </c>
      <c r="C15" s="14">
        <v>59.6</v>
      </c>
      <c r="D15" s="14">
        <v>37.97</v>
      </c>
      <c r="E15" s="7">
        <v>37.14</v>
      </c>
      <c r="F15" s="10">
        <v>45.474</v>
      </c>
      <c r="G15" s="11">
        <f t="shared" si="1"/>
        <v>44007.569</v>
      </c>
      <c r="H15" s="12">
        <f t="shared" si="2"/>
        <v>0.001033322245</v>
      </c>
      <c r="I15" s="5">
        <f t="shared" si="3"/>
        <v>63.70805369</v>
      </c>
      <c r="J15" s="5">
        <f t="shared" si="4"/>
        <v>0.7349593609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4">
        <v>15.0</v>
      </c>
      <c r="B16" s="4" t="s">
        <v>13</v>
      </c>
      <c r="C16" s="14">
        <v>69.49</v>
      </c>
      <c r="D16" s="14">
        <v>42.46</v>
      </c>
      <c r="E16" s="7">
        <v>41.33</v>
      </c>
      <c r="F16" s="10">
        <v>63.869</v>
      </c>
      <c r="G16" s="11">
        <f t="shared" si="1"/>
        <v>63850.79796</v>
      </c>
      <c r="H16" s="12">
        <f t="shared" si="2"/>
        <v>0.001000285072</v>
      </c>
      <c r="I16" s="5">
        <f t="shared" si="3"/>
        <v>61.10231688</v>
      </c>
      <c r="J16" s="5">
        <f t="shared" si="4"/>
        <v>0.7136198534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4">
        <v>16.0</v>
      </c>
      <c r="B17" s="4" t="s">
        <v>13</v>
      </c>
      <c r="C17" s="14">
        <v>68.84</v>
      </c>
      <c r="D17" s="14">
        <v>39.37</v>
      </c>
      <c r="E17" s="7">
        <v>38.76</v>
      </c>
      <c r="F17" s="10">
        <v>50.775</v>
      </c>
      <c r="G17" s="11">
        <f t="shared" si="1"/>
        <v>55003.28996</v>
      </c>
      <c r="H17" s="12">
        <f t="shared" si="2"/>
        <v>0.000923126599</v>
      </c>
      <c r="I17" s="5">
        <f t="shared" si="3"/>
        <v>57.19058687</v>
      </c>
      <c r="J17" s="5">
        <f t="shared" si="4"/>
        <v>0.6854184964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4">
        <v>17.0</v>
      </c>
      <c r="B18" s="4" t="s">
        <v>13</v>
      </c>
      <c r="C18" s="14">
        <v>76.16</v>
      </c>
      <c r="D18" s="14">
        <v>37.48</v>
      </c>
      <c r="E18" s="7">
        <v>35.48</v>
      </c>
      <c r="F18" s="10">
        <v>50.055</v>
      </c>
      <c r="G18" s="11">
        <f t="shared" si="1"/>
        <v>53028.42778</v>
      </c>
      <c r="H18" s="12">
        <f t="shared" si="2"/>
        <v>0.0009439276648</v>
      </c>
      <c r="I18" s="5">
        <f t="shared" si="3"/>
        <v>49.21218487</v>
      </c>
      <c r="J18" s="5">
        <f t="shared" si="4"/>
        <v>0.612035257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4">
        <v>18.0</v>
      </c>
      <c r="B19" s="4" t="s">
        <v>13</v>
      </c>
      <c r="C19" s="14">
        <v>67.79</v>
      </c>
      <c r="D19" s="14">
        <v>38.26</v>
      </c>
      <c r="E19" s="7">
        <v>35.11</v>
      </c>
      <c r="F19" s="10">
        <v>47.01</v>
      </c>
      <c r="G19" s="11">
        <f t="shared" si="1"/>
        <v>47680.4177</v>
      </c>
      <c r="H19" s="12">
        <f t="shared" si="2"/>
        <v>0.0009859393492</v>
      </c>
      <c r="I19" s="5">
        <f t="shared" si="3"/>
        <v>56.4390028</v>
      </c>
      <c r="J19" s="5">
        <f t="shared" si="4"/>
        <v>0.6636638709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4">
        <v>19.0</v>
      </c>
      <c r="B20" s="4" t="s">
        <v>13</v>
      </c>
      <c r="C20" s="14">
        <v>88.65</v>
      </c>
      <c r="D20" s="14">
        <v>43.5</v>
      </c>
      <c r="E20" s="7">
        <v>43.49</v>
      </c>
      <c r="F20" s="10">
        <v>80.001</v>
      </c>
      <c r="G20" s="11">
        <f t="shared" si="1"/>
        <v>87812.43637</v>
      </c>
      <c r="H20" s="12">
        <f t="shared" si="2"/>
        <v>0.0009110440766</v>
      </c>
      <c r="I20" s="5">
        <f t="shared" si="3"/>
        <v>49.06937394</v>
      </c>
      <c r="J20" s="5">
        <f t="shared" si="4"/>
        <v>0.6220716292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75" customHeight="1">
      <c r="A21" s="4">
        <v>20.0</v>
      </c>
      <c r="B21" s="4" t="s">
        <v>13</v>
      </c>
      <c r="C21" s="5">
        <v>69.73</v>
      </c>
      <c r="D21" s="14">
        <v>44.91</v>
      </c>
      <c r="E21" s="7">
        <v>44.39</v>
      </c>
      <c r="F21" s="10">
        <v>78.339</v>
      </c>
      <c r="G21" s="11">
        <f t="shared" si="1"/>
        <v>72785.77115</v>
      </c>
      <c r="H21" s="12">
        <f t="shared" si="2"/>
        <v>0.001076295528</v>
      </c>
      <c r="I21" s="5">
        <f t="shared" si="3"/>
        <v>64.40556432</v>
      </c>
      <c r="J21" s="5">
        <f t="shared" si="4"/>
        <v>0.7428987425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75" customHeight="1">
      <c r="A22" s="4">
        <v>21.0</v>
      </c>
      <c r="B22" s="4" t="s">
        <v>13</v>
      </c>
      <c r="C22" s="14">
        <v>73.71</v>
      </c>
      <c r="D22" s="14">
        <v>40.74</v>
      </c>
      <c r="E22" s="7">
        <v>37.03</v>
      </c>
      <c r="F22" s="10">
        <v>50.97</v>
      </c>
      <c r="G22" s="11">
        <f t="shared" si="1"/>
        <v>58223.69594</v>
      </c>
      <c r="H22" s="12">
        <f t="shared" si="2"/>
        <v>0.0008754167728</v>
      </c>
      <c r="I22" s="5">
        <f t="shared" si="3"/>
        <v>55.27065527</v>
      </c>
      <c r="J22" s="5">
        <f t="shared" si="4"/>
        <v>0.652390014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5.75" customHeight="1">
      <c r="A23" s="4">
        <v>22.0</v>
      </c>
      <c r="B23" s="4" t="s">
        <v>13</v>
      </c>
      <c r="C23" s="14">
        <v>61.55</v>
      </c>
      <c r="D23" s="14">
        <v>38.12</v>
      </c>
      <c r="E23" s="7">
        <v>34.58</v>
      </c>
      <c r="F23" s="10">
        <v>40.896</v>
      </c>
      <c r="G23" s="11">
        <f t="shared" si="1"/>
        <v>42481.96145</v>
      </c>
      <c r="H23" s="12">
        <f t="shared" si="2"/>
        <v>0.0009626674147</v>
      </c>
      <c r="I23" s="5">
        <f t="shared" si="3"/>
        <v>61.93338749</v>
      </c>
      <c r="J23" s="5">
        <f t="shared" si="4"/>
        <v>0.703353936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6">
        <v>23.0</v>
      </c>
      <c r="B24" s="5" t="s">
        <v>14</v>
      </c>
      <c r="C24" s="14">
        <v>73.94</v>
      </c>
      <c r="D24" s="14">
        <v>46.6</v>
      </c>
      <c r="E24" s="7">
        <v>46.49</v>
      </c>
      <c r="F24" s="10">
        <v>85.606</v>
      </c>
      <c r="G24" s="11">
        <f t="shared" si="1"/>
        <v>83873.26151</v>
      </c>
      <c r="H24" s="12">
        <f t="shared" si="2"/>
        <v>0.001020659009</v>
      </c>
      <c r="I24" s="5">
        <f t="shared" si="3"/>
        <v>63.02407357</v>
      </c>
      <c r="J24" s="5">
        <f t="shared" si="4"/>
        <v>0.7345062971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5.75" customHeight="1">
      <c r="A25" s="6">
        <v>24.0</v>
      </c>
      <c r="B25" s="5" t="s">
        <v>14</v>
      </c>
      <c r="C25" s="14">
        <v>68.4</v>
      </c>
      <c r="D25" s="14">
        <v>42.86</v>
      </c>
      <c r="E25" s="7">
        <v>41.58</v>
      </c>
      <c r="F25" s="10">
        <v>69.681</v>
      </c>
      <c r="G25" s="11">
        <f t="shared" si="1"/>
        <v>63825.08116</v>
      </c>
      <c r="H25" s="12">
        <f t="shared" si="2"/>
        <v>0.001091749493</v>
      </c>
      <c r="I25" s="5">
        <f t="shared" si="3"/>
        <v>62.66081871</v>
      </c>
      <c r="J25" s="5">
        <f t="shared" si="4"/>
        <v>0.7248945191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6">
        <v>25.0</v>
      </c>
      <c r="B26" s="5" t="s">
        <v>14</v>
      </c>
      <c r="C26" s="14">
        <v>77.37</v>
      </c>
      <c r="D26" s="14">
        <v>50.57</v>
      </c>
      <c r="E26" s="7">
        <v>50.21</v>
      </c>
      <c r="F26" s="10">
        <v>103.73</v>
      </c>
      <c r="G26" s="11">
        <f t="shared" si="1"/>
        <v>102861.865</v>
      </c>
      <c r="H26" s="12">
        <f t="shared" si="2"/>
        <v>0.001008439814</v>
      </c>
      <c r="I26" s="5">
        <f t="shared" si="3"/>
        <v>65.36125113</v>
      </c>
      <c r="J26" s="5">
        <f t="shared" si="4"/>
        <v>0.7513564064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6">
        <v>26.0</v>
      </c>
      <c r="B27" s="5" t="s">
        <v>14</v>
      </c>
      <c r="C27" s="14">
        <v>71.71</v>
      </c>
      <c r="D27" s="14">
        <v>47.17</v>
      </c>
      <c r="E27" s="7">
        <v>44.65</v>
      </c>
      <c r="F27" s="10">
        <v>78.393</v>
      </c>
      <c r="G27" s="11">
        <f t="shared" si="1"/>
        <v>79079.82222</v>
      </c>
      <c r="H27" s="12">
        <f t="shared" si="2"/>
        <v>0.0009913148235</v>
      </c>
      <c r="I27" s="5">
        <f t="shared" si="3"/>
        <v>65.7788314</v>
      </c>
      <c r="J27" s="5">
        <f t="shared" si="4"/>
        <v>0.7426359428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6">
        <v>27.0</v>
      </c>
      <c r="B28" s="5" t="s">
        <v>14</v>
      </c>
      <c r="C28" s="14">
        <v>77.87</v>
      </c>
      <c r="D28" s="14">
        <v>48.72</v>
      </c>
      <c r="E28" s="7">
        <v>47.03</v>
      </c>
      <c r="F28" s="10">
        <v>97.252</v>
      </c>
      <c r="G28" s="11">
        <f t="shared" si="1"/>
        <v>93422.40761</v>
      </c>
      <c r="H28" s="12">
        <f t="shared" si="2"/>
        <v>0.001040992225</v>
      </c>
      <c r="I28" s="5">
        <f t="shared" si="3"/>
        <v>62.56581482</v>
      </c>
      <c r="J28" s="5">
        <f t="shared" si="4"/>
        <v>0.7229595012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6">
        <v>28.0</v>
      </c>
      <c r="B29" s="5" t="s">
        <v>14</v>
      </c>
      <c r="C29" s="14">
        <v>74.91</v>
      </c>
      <c r="D29" s="14">
        <v>51.83</v>
      </c>
      <c r="E29" s="7">
        <v>50.48</v>
      </c>
      <c r="F29" s="10">
        <v>104.729</v>
      </c>
      <c r="G29" s="11">
        <f t="shared" si="1"/>
        <v>102621.6456</v>
      </c>
      <c r="H29" s="12">
        <f t="shared" si="2"/>
        <v>0.001020535184</v>
      </c>
      <c r="I29" s="5">
        <f t="shared" si="3"/>
        <v>69.1896943</v>
      </c>
      <c r="J29" s="5">
        <f t="shared" si="4"/>
        <v>0.7754259313</v>
      </c>
      <c r="K29" s="11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6">
        <v>29.0</v>
      </c>
      <c r="B30" s="5" t="s">
        <v>14</v>
      </c>
      <c r="C30" s="14">
        <v>70.76</v>
      </c>
      <c r="D30" s="14">
        <v>43.13</v>
      </c>
      <c r="E30" s="7">
        <v>42.63</v>
      </c>
      <c r="F30" s="10">
        <v>73.928</v>
      </c>
      <c r="G30" s="11">
        <f t="shared" si="1"/>
        <v>68121.03493</v>
      </c>
      <c r="H30" s="12">
        <f t="shared" si="2"/>
        <v>0.001085244816</v>
      </c>
      <c r="I30" s="5">
        <f t="shared" si="3"/>
        <v>60.95251555</v>
      </c>
      <c r="J30" s="5">
        <f t="shared" si="4"/>
        <v>0.7160989673</v>
      </c>
      <c r="K30" s="11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6">
        <v>30.0</v>
      </c>
      <c r="B31" s="5" t="s">
        <v>14</v>
      </c>
      <c r="C31" s="14">
        <v>78.49</v>
      </c>
      <c r="D31" s="14">
        <v>48.33</v>
      </c>
      <c r="E31" s="7">
        <v>46.64</v>
      </c>
      <c r="F31" s="10">
        <v>87.631</v>
      </c>
      <c r="G31" s="11">
        <f t="shared" si="1"/>
        <v>92637.81186</v>
      </c>
      <c r="H31" s="12">
        <f t="shared" si="2"/>
        <v>0.0009459528269</v>
      </c>
      <c r="I31" s="5">
        <f t="shared" si="3"/>
        <v>61.57472289</v>
      </c>
      <c r="J31" s="5">
        <f t="shared" si="4"/>
        <v>0.7152352214</v>
      </c>
      <c r="K31" s="11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6">
        <v>31.0</v>
      </c>
      <c r="B32" s="5" t="s">
        <v>14</v>
      </c>
      <c r="C32" s="14">
        <v>67.96</v>
      </c>
      <c r="D32" s="14">
        <v>45.51</v>
      </c>
      <c r="E32" s="7">
        <v>44.48</v>
      </c>
      <c r="F32" s="10">
        <v>73.676</v>
      </c>
      <c r="G32" s="11">
        <f t="shared" si="1"/>
        <v>72031.69038</v>
      </c>
      <c r="H32" s="12">
        <f t="shared" si="2"/>
        <v>0.001022827586</v>
      </c>
      <c r="I32" s="5">
        <f t="shared" si="3"/>
        <v>66.96586227</v>
      </c>
      <c r="J32" s="5">
        <f t="shared" si="4"/>
        <v>0.7596058334</v>
      </c>
      <c r="K32" s="11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6">
        <v>32.0</v>
      </c>
      <c r="B33" s="5" t="s">
        <v>14</v>
      </c>
      <c r="C33" s="14">
        <v>74.8</v>
      </c>
      <c r="D33" s="14">
        <v>40.53</v>
      </c>
      <c r="E33" s="7">
        <v>38.33</v>
      </c>
      <c r="F33" s="10">
        <v>64.342</v>
      </c>
      <c r="G33" s="11">
        <f t="shared" si="1"/>
        <v>60843.70376</v>
      </c>
      <c r="H33" s="12">
        <f t="shared" si="2"/>
        <v>0.001057496438</v>
      </c>
      <c r="I33" s="5">
        <f t="shared" si="3"/>
        <v>54.18449198</v>
      </c>
      <c r="J33" s="5">
        <f t="shared" si="4"/>
        <v>0.6523851635</v>
      </c>
      <c r="K33" s="11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6">
        <v>33.0</v>
      </c>
      <c r="B34" s="5" t="s">
        <v>14</v>
      </c>
      <c r="C34" s="14">
        <v>74.08</v>
      </c>
      <c r="D34" s="14">
        <v>42.74</v>
      </c>
      <c r="E34" s="7">
        <v>39.55</v>
      </c>
      <c r="F34" s="10">
        <v>65.093</v>
      </c>
      <c r="G34" s="11">
        <f t="shared" si="1"/>
        <v>65566.2887</v>
      </c>
      <c r="H34" s="12">
        <f t="shared" si="2"/>
        <v>0.0009927815237</v>
      </c>
      <c r="I34" s="5">
        <f t="shared" si="3"/>
        <v>57.69438445</v>
      </c>
      <c r="J34" s="5">
        <f t="shared" si="4"/>
        <v>0.6753460324</v>
      </c>
      <c r="K34" s="11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6">
        <v>34.0</v>
      </c>
      <c r="B35" s="5" t="s">
        <v>14</v>
      </c>
      <c r="C35" s="14">
        <v>75.14</v>
      </c>
      <c r="D35" s="14">
        <v>43.15</v>
      </c>
      <c r="E35" s="7">
        <v>42.2</v>
      </c>
      <c r="F35" s="10">
        <v>69.451</v>
      </c>
      <c r="G35" s="11">
        <f t="shared" si="1"/>
        <v>71641.23502</v>
      </c>
      <c r="H35" s="12">
        <f t="shared" si="2"/>
        <v>0.0009694277322</v>
      </c>
      <c r="I35" s="5">
        <f t="shared" si="3"/>
        <v>57.42613788</v>
      </c>
      <c r="J35" s="5">
        <f t="shared" si="4"/>
        <v>0.6857781176</v>
      </c>
      <c r="K35" s="11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6">
        <v>35.0</v>
      </c>
      <c r="B36" s="5" t="s">
        <v>14</v>
      </c>
      <c r="C36" s="14">
        <v>71.16</v>
      </c>
      <c r="D36" s="14">
        <v>46.14</v>
      </c>
      <c r="E36" s="7">
        <v>43.52</v>
      </c>
      <c r="F36" s="10">
        <v>75.925</v>
      </c>
      <c r="G36" s="11">
        <f t="shared" si="1"/>
        <v>74817.12897</v>
      </c>
      <c r="H36" s="12">
        <f t="shared" si="2"/>
        <v>0.001014807719</v>
      </c>
      <c r="I36" s="5">
        <f t="shared" si="3"/>
        <v>64.83979764</v>
      </c>
      <c r="J36" s="5">
        <f t="shared" si="4"/>
        <v>0.7346799696</v>
      </c>
      <c r="K36" s="11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6">
        <v>36.0</v>
      </c>
      <c r="B37" s="5" t="s">
        <v>14</v>
      </c>
      <c r="C37" s="14">
        <v>61.56</v>
      </c>
      <c r="D37" s="14">
        <v>49.78</v>
      </c>
      <c r="E37" s="7">
        <v>44.69</v>
      </c>
      <c r="F37" s="10">
        <v>66.557</v>
      </c>
      <c r="G37" s="11">
        <f t="shared" si="1"/>
        <v>71707.15307</v>
      </c>
      <c r="H37" s="12">
        <f t="shared" si="2"/>
        <v>0.0009281779732</v>
      </c>
      <c r="I37" s="5">
        <f t="shared" si="3"/>
        <v>80.86419753</v>
      </c>
      <c r="J37" s="5">
        <f t="shared" si="4"/>
        <v>0.8373159064</v>
      </c>
      <c r="K37" s="11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6">
        <v>37.0</v>
      </c>
      <c r="B38" s="5" t="s">
        <v>14</v>
      </c>
      <c r="C38" s="14">
        <v>73.12</v>
      </c>
      <c r="D38" s="14">
        <v>43.91</v>
      </c>
      <c r="E38" s="7">
        <v>43.59</v>
      </c>
      <c r="F38" s="10">
        <v>74.519</v>
      </c>
      <c r="G38" s="11">
        <f t="shared" si="1"/>
        <v>73279.94103</v>
      </c>
      <c r="H38" s="12">
        <f t="shared" si="2"/>
        <v>0.001016908569</v>
      </c>
      <c r="I38" s="5">
        <f t="shared" si="3"/>
        <v>60.05196937</v>
      </c>
      <c r="J38" s="5">
        <f t="shared" si="4"/>
        <v>0.7100560741</v>
      </c>
      <c r="K38" s="11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6">
        <v>38.0</v>
      </c>
      <c r="B39" s="5" t="s">
        <v>14</v>
      </c>
      <c r="C39" s="14">
        <v>70.45</v>
      </c>
      <c r="D39" s="14">
        <v>44.95</v>
      </c>
      <c r="E39" s="7">
        <v>44.52</v>
      </c>
      <c r="F39" s="10">
        <v>71.994</v>
      </c>
      <c r="G39" s="11">
        <f t="shared" si="1"/>
        <v>73818.37345</v>
      </c>
      <c r="H39" s="12">
        <f t="shared" si="2"/>
        <v>0.0009752856455</v>
      </c>
      <c r="I39" s="5">
        <f t="shared" si="3"/>
        <v>63.80411639</v>
      </c>
      <c r="J39" s="5">
        <f t="shared" si="4"/>
        <v>0.7387672233</v>
      </c>
      <c r="K39" s="11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6">
        <v>39.0</v>
      </c>
      <c r="B40" s="5" t="s">
        <v>14</v>
      </c>
      <c r="C40" s="14">
        <v>68.44</v>
      </c>
      <c r="D40" s="14">
        <v>40.89</v>
      </c>
      <c r="E40" s="7">
        <v>39.95</v>
      </c>
      <c r="F40" s="10">
        <v>58.655</v>
      </c>
      <c r="G40" s="11">
        <f t="shared" si="1"/>
        <v>58538.62503</v>
      </c>
      <c r="H40" s="12">
        <f t="shared" si="2"/>
        <v>0.001001988003</v>
      </c>
      <c r="I40" s="5">
        <f t="shared" si="3"/>
        <v>59.74576271</v>
      </c>
      <c r="J40" s="5">
        <f t="shared" si="4"/>
        <v>0.7038897334</v>
      </c>
      <c r="K40" s="11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6">
        <v>40.0</v>
      </c>
      <c r="B41" s="5" t="s">
        <v>14</v>
      </c>
      <c r="C41" s="14">
        <v>72.96</v>
      </c>
      <c r="D41" s="14">
        <v>36.24</v>
      </c>
      <c r="E41" s="7">
        <v>36.02</v>
      </c>
      <c r="F41" s="10">
        <v>31.508</v>
      </c>
      <c r="G41" s="11">
        <f t="shared" si="1"/>
        <v>49867.24151</v>
      </c>
      <c r="H41" s="12">
        <f t="shared" si="2"/>
        <v>0.0006318376363</v>
      </c>
      <c r="I41" s="5">
        <f t="shared" si="3"/>
        <v>49.67105263</v>
      </c>
      <c r="J41" s="5">
        <f t="shared" si="4"/>
        <v>0.6259227674</v>
      </c>
      <c r="K41" s="11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5.75" customHeight="1">
      <c r="A42" s="6">
        <v>41.0</v>
      </c>
      <c r="B42" s="5" t="s">
        <v>14</v>
      </c>
      <c r="C42" s="14">
        <v>73.36</v>
      </c>
      <c r="D42" s="14">
        <v>47.97</v>
      </c>
      <c r="E42" s="7">
        <v>46.31</v>
      </c>
      <c r="F42" s="10">
        <v>87.172</v>
      </c>
      <c r="G42" s="11">
        <f t="shared" si="1"/>
        <v>85330.1373</v>
      </c>
      <c r="H42" s="12">
        <f t="shared" si="2"/>
        <v>0.001021585137</v>
      </c>
      <c r="I42" s="5">
        <f t="shared" si="3"/>
        <v>65.38985823</v>
      </c>
      <c r="J42" s="5">
        <f t="shared" si="4"/>
        <v>0.7445752878</v>
      </c>
      <c r="K42" s="11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6">
        <v>42.0</v>
      </c>
      <c r="B43" s="5" t="s">
        <v>14</v>
      </c>
      <c r="C43" s="14">
        <v>77.24</v>
      </c>
      <c r="D43" s="14">
        <v>47.11</v>
      </c>
      <c r="E43" s="7">
        <v>46.42</v>
      </c>
      <c r="F43" s="10">
        <v>92.054</v>
      </c>
      <c r="G43" s="11">
        <f t="shared" si="1"/>
        <v>88442.11664</v>
      </c>
      <c r="H43" s="12">
        <f t="shared" si="2"/>
        <v>0.001040838952</v>
      </c>
      <c r="I43" s="5">
        <f t="shared" si="3"/>
        <v>60.99171414</v>
      </c>
      <c r="J43" s="5">
        <f t="shared" si="4"/>
        <v>0.7156674033</v>
      </c>
      <c r="K43" s="11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5.75" customHeight="1">
      <c r="A44" s="6">
        <v>43.0</v>
      </c>
      <c r="B44" s="5" t="s">
        <v>14</v>
      </c>
      <c r="C44" s="14">
        <v>71.57</v>
      </c>
      <c r="D44" s="14">
        <v>39.81</v>
      </c>
      <c r="E44" s="7">
        <v>39.55</v>
      </c>
      <c r="F44" s="10">
        <v>58.073</v>
      </c>
      <c r="G44" s="11">
        <f t="shared" si="1"/>
        <v>59002.21353</v>
      </c>
      <c r="H44" s="12">
        <f t="shared" si="2"/>
        <v>0.000984251209</v>
      </c>
      <c r="I44" s="5">
        <f t="shared" si="3"/>
        <v>55.62386475</v>
      </c>
      <c r="J44" s="5">
        <f t="shared" si="4"/>
        <v>0.6748784237</v>
      </c>
      <c r="K44" s="11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6">
        <v>44.0</v>
      </c>
      <c r="B45" s="5" t="s">
        <v>14</v>
      </c>
      <c r="C45" s="14">
        <v>69.5</v>
      </c>
      <c r="D45" s="14">
        <v>45.8</v>
      </c>
      <c r="E45" s="7">
        <v>42.52</v>
      </c>
      <c r="F45" s="10">
        <v>73.42</v>
      </c>
      <c r="G45" s="11">
        <f t="shared" si="1"/>
        <v>70866.69201</v>
      </c>
      <c r="H45" s="12">
        <f t="shared" si="2"/>
        <v>0.001036029733</v>
      </c>
      <c r="I45" s="5">
        <f t="shared" si="3"/>
        <v>65.89928058</v>
      </c>
      <c r="J45" s="5">
        <f t="shared" si="4"/>
        <v>0.7387480965</v>
      </c>
      <c r="K45" s="11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6">
        <v>45.0</v>
      </c>
      <c r="B46" s="5" t="s">
        <v>15</v>
      </c>
      <c r="C46" s="14">
        <v>81.96</v>
      </c>
      <c r="D46" s="14">
        <v>49.28</v>
      </c>
      <c r="E46" s="7">
        <v>48.08</v>
      </c>
      <c r="F46" s="10">
        <v>105.486</v>
      </c>
      <c r="G46" s="11">
        <f t="shared" si="1"/>
        <v>101680.0451</v>
      </c>
      <c r="H46" s="12">
        <f t="shared" si="2"/>
        <v>0.001037430696</v>
      </c>
      <c r="I46" s="5">
        <f t="shared" si="3"/>
        <v>60.12689117</v>
      </c>
      <c r="J46" s="5">
        <f t="shared" si="4"/>
        <v>0.7065513864</v>
      </c>
      <c r="K46" s="11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6">
        <v>46.0</v>
      </c>
      <c r="B47" s="5" t="s">
        <v>15</v>
      </c>
      <c r="C47" s="14">
        <v>72.41</v>
      </c>
      <c r="D47" s="14">
        <v>48.68</v>
      </c>
      <c r="E47" s="7">
        <v>47.46</v>
      </c>
      <c r="F47" s="10">
        <v>93.173</v>
      </c>
      <c r="G47" s="11">
        <f t="shared" si="1"/>
        <v>87594.22474</v>
      </c>
      <c r="H47" s="12">
        <f t="shared" si="2"/>
        <v>0.001063688848</v>
      </c>
      <c r="I47" s="5">
        <f t="shared" si="3"/>
        <v>67.22828339</v>
      </c>
      <c r="J47" s="5">
        <f t="shared" si="4"/>
        <v>0.7609575018</v>
      </c>
      <c r="K47" s="11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6">
        <v>47.0</v>
      </c>
      <c r="B48" s="5" t="s">
        <v>15</v>
      </c>
      <c r="C48" s="14">
        <v>80.09</v>
      </c>
      <c r="D48" s="14">
        <v>50.83</v>
      </c>
      <c r="E48" s="7">
        <v>50.65</v>
      </c>
      <c r="F48" s="10">
        <v>113.011</v>
      </c>
      <c r="G48" s="11">
        <f t="shared" si="1"/>
        <v>107963.3807</v>
      </c>
      <c r="H48" s="12">
        <f t="shared" si="2"/>
        <v>0.001046753068</v>
      </c>
      <c r="I48" s="5">
        <f t="shared" si="3"/>
        <v>63.46610064</v>
      </c>
      <c r="J48" s="5">
        <f t="shared" si="4"/>
        <v>0.7376454321</v>
      </c>
      <c r="K48" s="11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6">
        <v>48.0</v>
      </c>
      <c r="B49" s="5" t="s">
        <v>15</v>
      </c>
      <c r="C49" s="14">
        <v>81.49</v>
      </c>
      <c r="D49" s="14">
        <v>48.85</v>
      </c>
      <c r="E49" s="7">
        <v>48.52</v>
      </c>
      <c r="F49" s="10">
        <v>107.325</v>
      </c>
      <c r="G49" s="11">
        <f t="shared" si="1"/>
        <v>101131.9312</v>
      </c>
      <c r="H49" s="12">
        <f t="shared" si="2"/>
        <v>0.001061237522</v>
      </c>
      <c r="I49" s="5">
        <f t="shared" si="3"/>
        <v>59.94600564</v>
      </c>
      <c r="J49" s="5">
        <f t="shared" si="4"/>
        <v>0.7093472807</v>
      </c>
      <c r="K49" s="11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6">
        <v>49.0</v>
      </c>
      <c r="B50" s="5" t="s">
        <v>15</v>
      </c>
      <c r="C50" s="14">
        <v>70.99</v>
      </c>
      <c r="D50" s="14">
        <v>46.39</v>
      </c>
      <c r="E50" s="7">
        <v>44.6</v>
      </c>
      <c r="F50" s="10">
        <v>87.175</v>
      </c>
      <c r="G50" s="11">
        <f t="shared" si="1"/>
        <v>76905.08026</v>
      </c>
      <c r="H50" s="12">
        <f t="shared" si="2"/>
        <v>0.001133540199</v>
      </c>
      <c r="I50" s="5">
        <f t="shared" si="3"/>
        <v>65.347232</v>
      </c>
      <c r="J50" s="5">
        <f t="shared" si="4"/>
        <v>0.7432272532</v>
      </c>
      <c r="K50" s="11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0" customHeight="1">
      <c r="A51" s="6">
        <v>50.0</v>
      </c>
      <c r="B51" s="5" t="s">
        <v>15</v>
      </c>
      <c r="C51" s="14">
        <v>75.26</v>
      </c>
      <c r="D51" s="14">
        <v>47.26</v>
      </c>
      <c r="E51" s="7">
        <v>45.6</v>
      </c>
      <c r="F51" s="10">
        <v>94.069</v>
      </c>
      <c r="G51" s="11">
        <f t="shared" si="1"/>
        <v>84922.23124</v>
      </c>
      <c r="H51" s="12">
        <f t="shared" si="2"/>
        <v>0.001107707589</v>
      </c>
      <c r="I51" s="5">
        <f t="shared" si="3"/>
        <v>62.79564178</v>
      </c>
      <c r="J51" s="5">
        <f t="shared" si="4"/>
        <v>0.724619545</v>
      </c>
      <c r="K51" s="11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6">
        <v>51.0</v>
      </c>
      <c r="B52" s="5" t="s">
        <v>15</v>
      </c>
      <c r="C52" s="14">
        <v>79.75</v>
      </c>
      <c r="D52" s="14">
        <v>49.46</v>
      </c>
      <c r="E52" s="7">
        <v>48.9</v>
      </c>
      <c r="F52" s="10">
        <v>114.857</v>
      </c>
      <c r="G52" s="11">
        <f t="shared" si="1"/>
        <v>100993.2354</v>
      </c>
      <c r="H52" s="12">
        <f t="shared" si="2"/>
        <v>0.001137274191</v>
      </c>
      <c r="I52" s="5">
        <f t="shared" si="3"/>
        <v>62.01880878</v>
      </c>
      <c r="J52" s="5">
        <f t="shared" si="4"/>
        <v>0.7244924476</v>
      </c>
      <c r="K52" s="11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6">
        <v>52.0</v>
      </c>
      <c r="B53" s="5" t="s">
        <v>15</v>
      </c>
      <c r="C53" s="14">
        <v>78.1</v>
      </c>
      <c r="D53" s="14">
        <v>50.8</v>
      </c>
      <c r="E53" s="7">
        <v>50.26</v>
      </c>
      <c r="F53" s="10">
        <v>113.703</v>
      </c>
      <c r="G53" s="11">
        <f t="shared" si="1"/>
        <v>104408.4991</v>
      </c>
      <c r="H53" s="12">
        <f t="shared" si="2"/>
        <v>0.001089020539</v>
      </c>
      <c r="I53" s="5">
        <f t="shared" si="3"/>
        <v>65.04481434</v>
      </c>
      <c r="J53" s="5">
        <f t="shared" si="4"/>
        <v>0.7480455486</v>
      </c>
      <c r="K53" s="11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6">
        <v>53.0</v>
      </c>
      <c r="B54" s="5" t="s">
        <v>15</v>
      </c>
      <c r="C54" s="14">
        <v>75.08</v>
      </c>
      <c r="D54" s="14">
        <v>47.6</v>
      </c>
      <c r="E54" s="7">
        <v>46.71</v>
      </c>
      <c r="F54" s="10">
        <v>96.806</v>
      </c>
      <c r="G54" s="11">
        <f t="shared" si="1"/>
        <v>87405.69014</v>
      </c>
      <c r="H54" s="12">
        <f t="shared" si="2"/>
        <v>0.001107548031</v>
      </c>
      <c r="I54" s="5">
        <f t="shared" si="3"/>
        <v>63.39904102</v>
      </c>
      <c r="J54" s="5">
        <f t="shared" si="4"/>
        <v>0.7333693647</v>
      </c>
      <c r="K54" s="11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6">
        <v>54.0</v>
      </c>
      <c r="B55" s="5" t="s">
        <v>15</v>
      </c>
      <c r="C55" s="14">
        <v>70.51</v>
      </c>
      <c r="D55" s="14">
        <v>46.76</v>
      </c>
      <c r="E55" s="7">
        <v>44.21</v>
      </c>
      <c r="F55" s="10">
        <v>79.877</v>
      </c>
      <c r="G55" s="11">
        <f t="shared" si="1"/>
        <v>76321.05312</v>
      </c>
      <c r="H55" s="12">
        <f t="shared" si="2"/>
        <v>0.001046591952</v>
      </c>
      <c r="I55" s="5">
        <f t="shared" si="3"/>
        <v>66.31683449</v>
      </c>
      <c r="J55" s="5">
        <f t="shared" si="4"/>
        <v>0.7463877953</v>
      </c>
      <c r="K55" s="11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6">
        <v>55.0</v>
      </c>
      <c r="B56" s="5" t="s">
        <v>15</v>
      </c>
      <c r="C56" s="14">
        <v>79.88</v>
      </c>
      <c r="D56" s="14">
        <v>48.88</v>
      </c>
      <c r="E56" s="7">
        <v>46.55</v>
      </c>
      <c r="F56" s="10">
        <v>106.141</v>
      </c>
      <c r="G56" s="11">
        <f t="shared" si="1"/>
        <v>95167.25902</v>
      </c>
      <c r="H56" s="12">
        <f t="shared" si="2"/>
        <v>0.001115310046</v>
      </c>
      <c r="I56" s="5">
        <f t="shared" si="3"/>
        <v>61.19178768</v>
      </c>
      <c r="J56" s="5">
        <f t="shared" si="4"/>
        <v>0.7091284727</v>
      </c>
      <c r="K56" s="11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6">
        <v>56.0</v>
      </c>
      <c r="B57" s="5" t="s">
        <v>15</v>
      </c>
      <c r="C57" s="14">
        <v>84.59</v>
      </c>
      <c r="D57" s="14">
        <v>57.21</v>
      </c>
      <c r="E57" s="7">
        <v>55.3</v>
      </c>
      <c r="F57" s="10">
        <v>137.321</v>
      </c>
      <c r="G57" s="11">
        <f t="shared" si="1"/>
        <v>140124.7099</v>
      </c>
      <c r="H57" s="12">
        <f t="shared" si="2"/>
        <v>0.0009799913245</v>
      </c>
      <c r="I57" s="5">
        <f t="shared" si="3"/>
        <v>67.63210781</v>
      </c>
      <c r="J57" s="5">
        <f t="shared" si="4"/>
        <v>0.7618211222</v>
      </c>
      <c r="K57" s="11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6">
        <v>57.0</v>
      </c>
      <c r="B58" s="5" t="s">
        <v>15</v>
      </c>
      <c r="C58" s="14">
        <v>77.15</v>
      </c>
      <c r="D58" s="14">
        <v>48.81</v>
      </c>
      <c r="E58" s="7">
        <v>48.07</v>
      </c>
      <c r="F58" s="10">
        <v>101.377</v>
      </c>
      <c r="G58" s="11">
        <f t="shared" si="1"/>
        <v>94780.16982</v>
      </c>
      <c r="H58" s="12">
        <f t="shared" si="2"/>
        <v>0.001069601375</v>
      </c>
      <c r="I58" s="5">
        <f t="shared" si="3"/>
        <v>63.26636423</v>
      </c>
      <c r="J58" s="5">
        <f t="shared" si="4"/>
        <v>0.7332245927</v>
      </c>
      <c r="K58" s="11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6">
        <v>58.0</v>
      </c>
      <c r="B59" s="5" t="s">
        <v>15</v>
      </c>
      <c r="C59" s="14">
        <v>77.78</v>
      </c>
      <c r="D59" s="14">
        <v>45.68</v>
      </c>
      <c r="E59" s="7">
        <v>45.32</v>
      </c>
      <c r="F59" s="10">
        <v>91.925</v>
      </c>
      <c r="G59" s="11">
        <f t="shared" si="1"/>
        <v>84310.6733</v>
      </c>
      <c r="H59" s="12">
        <f t="shared" si="2"/>
        <v>0.001090312726</v>
      </c>
      <c r="I59" s="5">
        <f t="shared" si="3"/>
        <v>58.72975058</v>
      </c>
      <c r="J59" s="5">
        <f t="shared" si="4"/>
        <v>0.6994554196</v>
      </c>
      <c r="K59" s="11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6">
        <v>59.0</v>
      </c>
      <c r="B60" s="5" t="s">
        <v>15</v>
      </c>
      <c r="C60" s="14">
        <v>80.14</v>
      </c>
      <c r="D60" s="14">
        <v>49.0</v>
      </c>
      <c r="E60" s="7">
        <v>48.85</v>
      </c>
      <c r="F60" s="10">
        <v>104.206</v>
      </c>
      <c r="G60" s="11">
        <f t="shared" si="1"/>
        <v>100440.4404</v>
      </c>
      <c r="H60" s="12">
        <f t="shared" si="2"/>
        <v>0.001037490472</v>
      </c>
      <c r="I60" s="5">
        <f t="shared" si="3"/>
        <v>61.14299975</v>
      </c>
      <c r="J60" s="5">
        <f t="shared" si="4"/>
        <v>0.7196488857</v>
      </c>
      <c r="K60" s="11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6">
        <v>60.0</v>
      </c>
      <c r="B61" s="5" t="s">
        <v>15</v>
      </c>
      <c r="C61" s="14">
        <v>71.32</v>
      </c>
      <c r="D61" s="14">
        <v>47.85</v>
      </c>
      <c r="E61" s="7">
        <v>43.75</v>
      </c>
      <c r="F61" s="10">
        <v>82.036</v>
      </c>
      <c r="G61" s="11">
        <f t="shared" si="1"/>
        <v>78175.37196</v>
      </c>
      <c r="H61" s="12">
        <f t="shared" si="2"/>
        <v>0.001049384198</v>
      </c>
      <c r="I61" s="5">
        <f t="shared" si="3"/>
        <v>67.09197981</v>
      </c>
      <c r="J61" s="5">
        <f t="shared" si="4"/>
        <v>0.7438392829</v>
      </c>
      <c r="K61" s="11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15.75" customHeight="1">
      <c r="A62" s="6">
        <v>61.0</v>
      </c>
      <c r="B62" s="5" t="s">
        <v>15</v>
      </c>
      <c r="C62" s="14">
        <v>82.81</v>
      </c>
      <c r="D62" s="14">
        <v>54.57</v>
      </c>
      <c r="E62" s="7">
        <v>54.45</v>
      </c>
      <c r="F62" s="10">
        <v>130.716</v>
      </c>
      <c r="G62" s="11">
        <f t="shared" si="1"/>
        <v>128834.817</v>
      </c>
      <c r="H62" s="12">
        <f t="shared" si="2"/>
        <v>0.001014601511</v>
      </c>
      <c r="I62" s="5">
        <f t="shared" si="3"/>
        <v>65.89783843</v>
      </c>
      <c r="J62" s="5">
        <f t="shared" si="4"/>
        <v>0.7567087506</v>
      </c>
      <c r="K62" s="11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6">
        <v>62.0</v>
      </c>
      <c r="B63" s="5" t="s">
        <v>15</v>
      </c>
      <c r="C63" s="14">
        <v>79.04</v>
      </c>
      <c r="D63" s="14">
        <v>51.33</v>
      </c>
      <c r="E63" s="7">
        <v>51.3</v>
      </c>
      <c r="F63" s="10">
        <v>117.898</v>
      </c>
      <c r="G63" s="11">
        <f t="shared" si="1"/>
        <v>108976.8332</v>
      </c>
      <c r="H63" s="12">
        <f t="shared" si="2"/>
        <v>0.001081862966</v>
      </c>
      <c r="I63" s="5">
        <f t="shared" si="3"/>
        <v>64.94180162</v>
      </c>
      <c r="J63" s="5">
        <f t="shared" si="4"/>
        <v>0.7497760932</v>
      </c>
      <c r="K63" s="11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6">
        <v>63.0</v>
      </c>
      <c r="B64" s="5" t="s">
        <v>15</v>
      </c>
      <c r="C64" s="14">
        <v>75.87</v>
      </c>
      <c r="D64" s="14">
        <v>48.06</v>
      </c>
      <c r="E64" s="7">
        <v>45.39</v>
      </c>
      <c r="F64" s="10">
        <v>90.088</v>
      </c>
      <c r="G64" s="11">
        <f t="shared" si="1"/>
        <v>86658.79695</v>
      </c>
      <c r="H64" s="12">
        <f t="shared" si="2"/>
        <v>0.001039571321</v>
      </c>
      <c r="I64" s="5">
        <f t="shared" si="3"/>
        <v>63.34519573</v>
      </c>
      <c r="J64" s="5">
        <f t="shared" si="4"/>
        <v>0.7236600431</v>
      </c>
      <c r="K64" s="11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5.75" customHeight="1">
      <c r="A65" s="6">
        <v>64.0</v>
      </c>
      <c r="B65" s="5" t="s">
        <v>15</v>
      </c>
      <c r="C65" s="14">
        <v>81.69</v>
      </c>
      <c r="D65" s="14">
        <v>48.19</v>
      </c>
      <c r="E65" s="7">
        <v>47.44</v>
      </c>
      <c r="F65" s="10">
        <v>99.446</v>
      </c>
      <c r="G65" s="11">
        <f t="shared" si="1"/>
        <v>97784.29862</v>
      </c>
      <c r="H65" s="12">
        <f t="shared" si="2"/>
        <v>0.00101699354</v>
      </c>
      <c r="I65" s="5">
        <f t="shared" si="3"/>
        <v>58.99130861</v>
      </c>
      <c r="J65" s="5">
        <f t="shared" si="4"/>
        <v>0.6997151408</v>
      </c>
      <c r="K65" s="11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6">
        <v>65.0</v>
      </c>
      <c r="B66" s="5" t="s">
        <v>15</v>
      </c>
      <c r="C66" s="14">
        <v>77.48</v>
      </c>
      <c r="D66" s="14">
        <v>54.94</v>
      </c>
      <c r="E66" s="7">
        <v>54.5</v>
      </c>
      <c r="F66" s="10">
        <v>134.508</v>
      </c>
      <c r="G66" s="11">
        <f t="shared" si="1"/>
        <v>121471.2195</v>
      </c>
      <c r="H66" s="12">
        <f t="shared" si="2"/>
        <v>0.001107324027</v>
      </c>
      <c r="I66" s="5">
        <f t="shared" si="3"/>
        <v>70.90862158</v>
      </c>
      <c r="J66" s="5">
        <f t="shared" si="4"/>
        <v>0.7930525716</v>
      </c>
      <c r="K66" s="11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5.75" customHeight="1">
      <c r="A67" s="6">
        <v>66.0</v>
      </c>
      <c r="B67" s="5" t="s">
        <v>15</v>
      </c>
      <c r="C67" s="14">
        <v>76.97</v>
      </c>
      <c r="D67" s="14">
        <v>47.29</v>
      </c>
      <c r="E67" s="7">
        <v>47.26</v>
      </c>
      <c r="F67" s="10">
        <v>91.393</v>
      </c>
      <c r="G67" s="11">
        <f t="shared" si="1"/>
        <v>90070.6175</v>
      </c>
      <c r="H67" s="12">
        <f t="shared" si="2"/>
        <v>0.001014681619</v>
      </c>
      <c r="I67" s="5">
        <f t="shared" si="3"/>
        <v>61.43952189</v>
      </c>
      <c r="J67" s="5">
        <f t="shared" si="4"/>
        <v>0.722559063</v>
      </c>
      <c r="K67" s="11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6"/>
      <c r="B68" s="5"/>
      <c r="C68" s="14"/>
      <c r="D68" s="14"/>
      <c r="E68" s="7"/>
      <c r="F68" s="10"/>
      <c r="G68" s="11"/>
      <c r="H68" s="12"/>
      <c r="I68" s="5"/>
      <c r="J68" s="5"/>
      <c r="K68" s="11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6"/>
      <c r="B69" s="5"/>
      <c r="C69" s="14"/>
      <c r="D69" s="14"/>
      <c r="E69" s="7"/>
      <c r="F69" s="10"/>
      <c r="G69" s="11"/>
      <c r="H69" s="12"/>
      <c r="I69" s="5"/>
      <c r="J69" s="5"/>
      <c r="K69" s="11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5.75" customHeight="1">
      <c r="A70" s="6"/>
      <c r="B70" s="5"/>
      <c r="C70" s="14"/>
      <c r="D70" s="14"/>
      <c r="E70" s="7"/>
      <c r="F70" s="10"/>
      <c r="G70" s="11"/>
      <c r="H70" s="12"/>
      <c r="I70" s="5"/>
      <c r="J70" s="5"/>
      <c r="K70" s="11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6"/>
      <c r="B71" s="5"/>
      <c r="C71" s="14"/>
      <c r="D71" s="14"/>
      <c r="E71" s="7"/>
      <c r="F71" s="10"/>
      <c r="G71" s="11"/>
      <c r="H71" s="12"/>
      <c r="I71" s="5"/>
      <c r="J71" s="5"/>
      <c r="K71" s="11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5.75" customHeight="1">
      <c r="A72" s="6"/>
      <c r="C72" s="14"/>
      <c r="D72" s="14"/>
      <c r="E72" s="7"/>
      <c r="F72" s="10"/>
      <c r="G72" s="11"/>
      <c r="H72" s="12"/>
      <c r="I72" s="5"/>
      <c r="J72" s="5"/>
      <c r="K72" s="11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6"/>
      <c r="C73" s="14"/>
      <c r="D73" s="14"/>
      <c r="E73" s="7"/>
      <c r="F73" s="10"/>
      <c r="G73" s="11"/>
      <c r="H73" s="12"/>
      <c r="I73" s="5"/>
      <c r="J73" s="5"/>
      <c r="K73" s="11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6"/>
      <c r="C74" s="14"/>
      <c r="D74" s="14"/>
      <c r="E74" s="7"/>
      <c r="F74" s="10"/>
      <c r="G74" s="11"/>
      <c r="H74" s="12"/>
      <c r="I74" s="5"/>
      <c r="J74" s="5"/>
      <c r="K74" s="11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5.75" customHeight="1">
      <c r="A75" s="6"/>
      <c r="C75" s="14"/>
      <c r="D75" s="14"/>
      <c r="E75" s="7"/>
      <c r="F75" s="10"/>
      <c r="G75" s="11"/>
      <c r="H75" s="12"/>
      <c r="I75" s="5"/>
      <c r="J75" s="5"/>
      <c r="K75" s="11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6"/>
      <c r="C76" s="14"/>
      <c r="D76" s="14"/>
      <c r="E76" s="7"/>
      <c r="F76" s="10"/>
      <c r="G76" s="10"/>
      <c r="H76" s="12"/>
      <c r="I76" s="10"/>
      <c r="J76" s="10"/>
      <c r="K76" s="10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5.75" customHeight="1">
      <c r="A77" s="6"/>
      <c r="C77" s="14"/>
      <c r="D77" s="14"/>
      <c r="E77" s="7"/>
      <c r="F77" s="10"/>
      <c r="G77" s="10"/>
      <c r="H77" s="12"/>
      <c r="I77" s="10"/>
      <c r="J77" s="10"/>
      <c r="K77" s="10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5.75" customHeight="1">
      <c r="A78" s="6"/>
      <c r="C78" s="14"/>
      <c r="D78" s="14"/>
      <c r="E78" s="7"/>
      <c r="F78" s="10"/>
      <c r="G78" s="10"/>
      <c r="H78" s="12"/>
      <c r="I78" s="10"/>
      <c r="J78" s="10"/>
      <c r="K78" s="10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6"/>
      <c r="C79" s="14"/>
      <c r="D79" s="14"/>
      <c r="E79" s="7"/>
      <c r="F79" s="10"/>
      <c r="G79" s="10"/>
      <c r="H79" s="12"/>
      <c r="I79" s="10"/>
      <c r="J79" s="10"/>
      <c r="K79" s="10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6"/>
      <c r="C80" s="14"/>
      <c r="D80" s="14"/>
      <c r="E80" s="7"/>
      <c r="F80" s="10"/>
      <c r="G80" s="10"/>
      <c r="H80" s="12"/>
      <c r="I80" s="10"/>
      <c r="J80" s="10"/>
      <c r="K80" s="10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6"/>
      <c r="C81" s="14"/>
      <c r="D81" s="14"/>
      <c r="E81" s="7"/>
      <c r="F81" s="10"/>
      <c r="G81" s="10"/>
      <c r="H81" s="12"/>
      <c r="I81" s="10"/>
      <c r="J81" s="10"/>
      <c r="K81" s="10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6"/>
      <c r="C82" s="14"/>
      <c r="D82" s="14"/>
      <c r="E82" s="7"/>
      <c r="F82" s="10"/>
      <c r="G82" s="10"/>
      <c r="H82" s="12"/>
      <c r="I82" s="10"/>
      <c r="J82" s="10"/>
      <c r="K82" s="10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5.75" customHeight="1">
      <c r="A83" s="6"/>
      <c r="C83" s="14"/>
      <c r="D83" s="14"/>
      <c r="E83" s="7"/>
      <c r="F83" s="10"/>
      <c r="G83" s="10"/>
      <c r="H83" s="12"/>
      <c r="I83" s="10"/>
      <c r="J83" s="10"/>
      <c r="K83" s="10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6"/>
      <c r="C84" s="14"/>
      <c r="D84" s="14"/>
      <c r="E84" s="7"/>
      <c r="F84" s="10"/>
      <c r="G84" s="10"/>
      <c r="H84" s="12"/>
      <c r="I84" s="10"/>
      <c r="J84" s="10"/>
      <c r="K84" s="10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6"/>
      <c r="C85" s="14"/>
      <c r="D85" s="14"/>
      <c r="E85" s="7"/>
      <c r="F85" s="10"/>
      <c r="G85" s="10"/>
      <c r="H85" s="12"/>
      <c r="I85" s="10"/>
      <c r="J85" s="10"/>
      <c r="K85" s="10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6"/>
      <c r="C86" s="14"/>
      <c r="D86" s="14"/>
      <c r="E86" s="7"/>
      <c r="F86" s="10"/>
      <c r="G86" s="10"/>
      <c r="H86" s="12"/>
      <c r="I86" s="10"/>
      <c r="J86" s="10"/>
      <c r="K86" s="10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6"/>
      <c r="C87" s="14"/>
      <c r="D87" s="14"/>
      <c r="E87" s="7"/>
      <c r="F87" s="10"/>
      <c r="G87" s="10"/>
      <c r="H87" s="12"/>
      <c r="I87" s="10"/>
      <c r="J87" s="10"/>
      <c r="K87" s="10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5.75" customHeight="1">
      <c r="A88" s="6"/>
      <c r="C88" s="14"/>
      <c r="D88" s="14"/>
      <c r="E88" s="7"/>
      <c r="F88" s="10"/>
      <c r="G88" s="10"/>
      <c r="H88" s="12"/>
      <c r="I88" s="10"/>
      <c r="J88" s="10"/>
      <c r="K88" s="10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6"/>
      <c r="C89" s="14"/>
      <c r="D89" s="14"/>
      <c r="E89" s="7"/>
      <c r="F89" s="10"/>
      <c r="G89" s="10"/>
      <c r="H89" s="12"/>
      <c r="I89" s="10"/>
      <c r="J89" s="10"/>
      <c r="K89" s="10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6"/>
      <c r="C90" s="14"/>
      <c r="D90" s="14"/>
      <c r="E90" s="7"/>
      <c r="F90" s="10"/>
      <c r="G90" s="10"/>
      <c r="H90" s="12"/>
      <c r="I90" s="10"/>
      <c r="J90" s="10"/>
      <c r="K90" s="10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6"/>
      <c r="C91" s="14"/>
      <c r="D91" s="14"/>
      <c r="E91" s="7"/>
      <c r="F91" s="10"/>
      <c r="G91" s="10"/>
      <c r="H91" s="12"/>
      <c r="I91" s="10"/>
      <c r="J91" s="10"/>
      <c r="K91" s="10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6"/>
      <c r="C92" s="14"/>
      <c r="D92" s="14"/>
      <c r="E92" s="7"/>
      <c r="F92" s="10"/>
      <c r="G92" s="10"/>
      <c r="H92" s="12"/>
      <c r="I92" s="10"/>
      <c r="J92" s="10"/>
      <c r="K92" s="10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5.75" customHeight="1">
      <c r="A93" s="6"/>
      <c r="C93" s="14"/>
      <c r="D93" s="14"/>
      <c r="E93" s="7"/>
      <c r="F93" s="10"/>
      <c r="G93" s="10"/>
      <c r="H93" s="12"/>
      <c r="I93" s="10"/>
      <c r="J93" s="10"/>
      <c r="K93" s="10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6"/>
      <c r="C94" s="14"/>
      <c r="D94" s="14"/>
      <c r="E94" s="7"/>
      <c r="F94" s="10"/>
      <c r="G94" s="10"/>
      <c r="H94" s="12"/>
      <c r="I94" s="10"/>
      <c r="J94" s="10"/>
      <c r="K94" s="10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6"/>
      <c r="C95" s="14"/>
      <c r="D95" s="14"/>
      <c r="E95" s="7"/>
      <c r="F95" s="10"/>
      <c r="G95" s="10"/>
      <c r="H95" s="12"/>
      <c r="I95" s="10"/>
      <c r="J95" s="10"/>
      <c r="K95" s="10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6"/>
      <c r="C96" s="14"/>
      <c r="D96" s="14"/>
      <c r="E96" s="7"/>
      <c r="F96" s="10"/>
      <c r="G96" s="10"/>
      <c r="H96" s="12"/>
      <c r="I96" s="10"/>
      <c r="J96" s="10"/>
      <c r="K96" s="10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6"/>
      <c r="C97" s="14"/>
      <c r="D97" s="14"/>
      <c r="E97" s="7"/>
      <c r="F97" s="10"/>
      <c r="G97" s="10"/>
      <c r="H97" s="12"/>
      <c r="I97" s="10"/>
      <c r="J97" s="10"/>
      <c r="K97" s="10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5.75" customHeight="1">
      <c r="A98" s="6"/>
      <c r="C98" s="14"/>
      <c r="D98" s="14"/>
      <c r="E98" s="7"/>
      <c r="F98" s="10"/>
      <c r="G98" s="10"/>
      <c r="H98" s="12"/>
      <c r="I98" s="10"/>
      <c r="J98" s="10"/>
      <c r="K98" s="10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6"/>
      <c r="C99" s="14"/>
      <c r="D99" s="14"/>
      <c r="E99" s="7"/>
      <c r="F99" s="10"/>
      <c r="G99" s="10"/>
      <c r="H99" s="12"/>
      <c r="I99" s="10"/>
      <c r="J99" s="10"/>
      <c r="K99" s="10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6"/>
      <c r="C100" s="14"/>
      <c r="D100" s="14"/>
      <c r="E100" s="7"/>
      <c r="F100" s="10"/>
      <c r="G100" s="10"/>
      <c r="H100" s="12"/>
      <c r="I100" s="10"/>
      <c r="J100" s="10"/>
      <c r="K100" s="10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6"/>
      <c r="C101" s="14"/>
      <c r="D101" s="14"/>
      <c r="E101" s="7"/>
      <c r="F101" s="10"/>
      <c r="G101" s="10"/>
      <c r="H101" s="12"/>
      <c r="I101" s="10"/>
      <c r="J101" s="10"/>
      <c r="K101" s="10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6"/>
      <c r="C102" s="14"/>
      <c r="D102" s="14"/>
      <c r="E102" s="7"/>
      <c r="F102" s="10"/>
      <c r="G102" s="10"/>
      <c r="H102" s="12"/>
      <c r="I102" s="10"/>
      <c r="J102" s="10"/>
      <c r="K102" s="10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5.75" customHeight="1">
      <c r="A103" s="6"/>
      <c r="C103" s="14"/>
      <c r="D103" s="14"/>
      <c r="E103" s="7"/>
      <c r="F103" s="10"/>
      <c r="G103" s="10"/>
      <c r="H103" s="12"/>
      <c r="I103" s="10"/>
      <c r="J103" s="10"/>
      <c r="K103" s="10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6"/>
      <c r="C104" s="14"/>
      <c r="D104" s="14"/>
      <c r="E104" s="7"/>
      <c r="F104" s="10"/>
      <c r="G104" s="10"/>
      <c r="H104" s="12"/>
      <c r="I104" s="10"/>
      <c r="J104" s="10"/>
      <c r="K104" s="10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6"/>
      <c r="C105" s="14"/>
      <c r="D105" s="14"/>
      <c r="E105" s="7"/>
      <c r="F105" s="10"/>
      <c r="G105" s="10"/>
      <c r="H105" s="12"/>
      <c r="I105" s="10"/>
      <c r="J105" s="10"/>
      <c r="K105" s="10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6"/>
      <c r="C106" s="14"/>
      <c r="D106" s="14"/>
      <c r="E106" s="7"/>
      <c r="F106" s="10"/>
      <c r="G106" s="10"/>
      <c r="H106" s="12"/>
      <c r="I106" s="10"/>
      <c r="J106" s="10"/>
      <c r="K106" s="10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6"/>
      <c r="C107" s="14"/>
      <c r="D107" s="14"/>
      <c r="E107" s="7"/>
      <c r="F107" s="10"/>
      <c r="G107" s="10"/>
      <c r="H107" s="12"/>
      <c r="I107" s="10"/>
      <c r="J107" s="10"/>
      <c r="K107" s="10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6"/>
      <c r="C108" s="14"/>
      <c r="D108" s="14"/>
      <c r="E108" s="7"/>
      <c r="F108" s="10"/>
      <c r="G108" s="10"/>
      <c r="H108" s="12"/>
      <c r="I108" s="10"/>
      <c r="J108" s="10"/>
      <c r="K108" s="10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6"/>
      <c r="C109" s="14"/>
      <c r="D109" s="14"/>
      <c r="E109" s="7"/>
      <c r="F109" s="10"/>
      <c r="G109" s="10"/>
      <c r="H109" s="12"/>
      <c r="I109" s="10"/>
      <c r="J109" s="10"/>
      <c r="K109" s="10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6"/>
      <c r="C110" s="14"/>
      <c r="D110" s="14"/>
      <c r="E110" s="7"/>
      <c r="F110" s="10"/>
      <c r="G110" s="10"/>
      <c r="H110" s="12"/>
      <c r="I110" s="10"/>
      <c r="J110" s="10"/>
      <c r="K110" s="10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6"/>
      <c r="C111" s="14"/>
      <c r="D111" s="14"/>
      <c r="E111" s="7"/>
      <c r="F111" s="10"/>
      <c r="G111" s="10"/>
      <c r="H111" s="12"/>
      <c r="I111" s="10"/>
      <c r="J111" s="10"/>
      <c r="K111" s="10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6"/>
      <c r="C112" s="14"/>
      <c r="D112" s="14"/>
      <c r="E112" s="7"/>
      <c r="F112" s="10"/>
      <c r="G112" s="10"/>
      <c r="H112" s="12"/>
      <c r="I112" s="10"/>
      <c r="J112" s="10"/>
      <c r="K112" s="10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6"/>
      <c r="C113" s="14"/>
      <c r="D113" s="14"/>
      <c r="E113" s="7"/>
      <c r="F113" s="10"/>
      <c r="G113" s="10"/>
      <c r="H113" s="12"/>
      <c r="I113" s="10"/>
      <c r="J113" s="10"/>
      <c r="K113" s="10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6"/>
      <c r="C114" s="14"/>
      <c r="D114" s="14"/>
      <c r="E114" s="7"/>
      <c r="F114" s="10"/>
      <c r="G114" s="10"/>
      <c r="H114" s="12"/>
      <c r="I114" s="10"/>
      <c r="J114" s="10"/>
      <c r="K114" s="10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6"/>
      <c r="C115" s="14"/>
      <c r="D115" s="14"/>
      <c r="E115" s="7"/>
      <c r="F115" s="10"/>
      <c r="G115" s="10"/>
      <c r="H115" s="12"/>
      <c r="I115" s="10"/>
      <c r="J115" s="10"/>
      <c r="K115" s="10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6"/>
      <c r="C116" s="14"/>
      <c r="D116" s="14"/>
      <c r="E116" s="7"/>
      <c r="F116" s="10"/>
      <c r="G116" s="10"/>
      <c r="H116" s="12"/>
      <c r="I116" s="10"/>
      <c r="J116" s="10"/>
      <c r="K116" s="10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6"/>
      <c r="C117" s="14"/>
      <c r="D117" s="14"/>
      <c r="E117" s="7"/>
      <c r="F117" s="10"/>
      <c r="G117" s="10"/>
      <c r="H117" s="12"/>
      <c r="I117" s="10"/>
      <c r="J117" s="10"/>
      <c r="K117" s="10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6"/>
      <c r="C118" s="14"/>
      <c r="D118" s="14"/>
      <c r="E118" s="7"/>
      <c r="F118" s="10"/>
      <c r="G118" s="10"/>
      <c r="H118" s="12"/>
      <c r="I118" s="10"/>
      <c r="J118" s="10"/>
      <c r="K118" s="10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6"/>
      <c r="C119" s="14"/>
      <c r="D119" s="14"/>
      <c r="E119" s="7"/>
      <c r="F119" s="10"/>
      <c r="G119" s="10"/>
      <c r="H119" s="12"/>
      <c r="I119" s="10"/>
      <c r="J119" s="10"/>
      <c r="K119" s="10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6"/>
      <c r="C120" s="14"/>
      <c r="D120" s="14"/>
      <c r="E120" s="7"/>
      <c r="F120" s="10"/>
      <c r="G120" s="10"/>
      <c r="H120" s="12"/>
      <c r="I120" s="10"/>
      <c r="J120" s="10"/>
      <c r="K120" s="10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6"/>
      <c r="C121" s="14"/>
      <c r="D121" s="14"/>
      <c r="E121" s="7"/>
      <c r="F121" s="10"/>
      <c r="G121" s="10"/>
      <c r="H121" s="12"/>
      <c r="I121" s="10"/>
      <c r="J121" s="10"/>
      <c r="K121" s="10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6"/>
      <c r="C122" s="14"/>
      <c r="D122" s="14"/>
      <c r="E122" s="7"/>
      <c r="F122" s="10"/>
      <c r="G122" s="10"/>
      <c r="H122" s="12"/>
      <c r="I122" s="10"/>
      <c r="J122" s="10"/>
      <c r="K122" s="10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6"/>
      <c r="C123" s="14"/>
      <c r="D123" s="14"/>
      <c r="E123" s="7"/>
      <c r="F123" s="10"/>
      <c r="G123" s="10"/>
      <c r="H123" s="12"/>
      <c r="I123" s="10"/>
      <c r="J123" s="10"/>
      <c r="K123" s="10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6"/>
      <c r="C124" s="14"/>
      <c r="D124" s="14"/>
      <c r="E124" s="7"/>
      <c r="F124" s="10"/>
      <c r="G124" s="10"/>
      <c r="H124" s="12"/>
      <c r="I124" s="10"/>
      <c r="J124" s="10"/>
      <c r="K124" s="10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6"/>
      <c r="C125" s="14"/>
      <c r="D125" s="14"/>
      <c r="E125" s="7"/>
      <c r="F125" s="10"/>
      <c r="G125" s="10"/>
      <c r="H125" s="12"/>
      <c r="I125" s="10"/>
      <c r="J125" s="10"/>
      <c r="K125" s="10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6"/>
      <c r="C126" s="14"/>
      <c r="D126" s="14"/>
      <c r="E126" s="7"/>
      <c r="F126" s="10"/>
      <c r="G126" s="10"/>
      <c r="H126" s="12"/>
      <c r="I126" s="10"/>
      <c r="J126" s="10"/>
      <c r="K126" s="10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6"/>
      <c r="C127" s="14"/>
      <c r="D127" s="14"/>
      <c r="E127" s="7"/>
      <c r="F127" s="10"/>
      <c r="G127" s="10"/>
      <c r="H127" s="12"/>
      <c r="I127" s="10"/>
      <c r="J127" s="10"/>
      <c r="K127" s="10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6"/>
      <c r="C128" s="14"/>
      <c r="D128" s="14"/>
      <c r="E128" s="7"/>
      <c r="F128" s="10"/>
      <c r="G128" s="10"/>
      <c r="H128" s="12"/>
      <c r="I128" s="10"/>
      <c r="J128" s="10"/>
      <c r="K128" s="10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6"/>
      <c r="C129" s="14"/>
      <c r="D129" s="14"/>
      <c r="E129" s="7"/>
      <c r="F129" s="10"/>
      <c r="G129" s="10"/>
      <c r="H129" s="12"/>
      <c r="I129" s="10"/>
      <c r="J129" s="10"/>
      <c r="K129" s="10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6"/>
      <c r="C130" s="14"/>
      <c r="D130" s="14"/>
      <c r="E130" s="7"/>
      <c r="F130" s="10"/>
      <c r="G130" s="10"/>
      <c r="H130" s="12"/>
      <c r="I130" s="10"/>
      <c r="J130" s="10"/>
      <c r="K130" s="10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6"/>
      <c r="C131" s="14"/>
      <c r="D131" s="14"/>
      <c r="E131" s="7"/>
      <c r="F131" s="10"/>
      <c r="G131" s="10"/>
      <c r="H131" s="12"/>
      <c r="I131" s="10"/>
      <c r="J131" s="10"/>
      <c r="K131" s="10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5.75" customHeight="1">
      <c r="A132" s="6"/>
      <c r="C132" s="14"/>
      <c r="D132" s="14"/>
      <c r="E132" s="7"/>
      <c r="F132" s="10"/>
      <c r="G132" s="10"/>
      <c r="H132" s="12"/>
      <c r="I132" s="10"/>
      <c r="J132" s="10"/>
      <c r="K132" s="10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5.75" customHeight="1">
      <c r="A133" s="6"/>
      <c r="C133" s="14"/>
      <c r="D133" s="14"/>
      <c r="E133" s="7"/>
      <c r="F133" s="10"/>
      <c r="G133" s="10"/>
      <c r="H133" s="12"/>
      <c r="I133" s="10"/>
      <c r="J133" s="10"/>
      <c r="K133" s="10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5.75" customHeight="1">
      <c r="A134" s="6"/>
      <c r="C134" s="14"/>
      <c r="D134" s="14"/>
      <c r="E134" s="7"/>
      <c r="F134" s="10"/>
      <c r="G134" s="10"/>
      <c r="H134" s="12"/>
      <c r="I134" s="10"/>
      <c r="J134" s="10"/>
      <c r="K134" s="10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5.75" customHeight="1">
      <c r="A135" s="6"/>
      <c r="C135" s="14"/>
      <c r="D135" s="14"/>
      <c r="E135" s="7"/>
      <c r="F135" s="10"/>
      <c r="G135" s="10"/>
      <c r="H135" s="12"/>
      <c r="I135" s="10"/>
      <c r="J135" s="10"/>
      <c r="K135" s="10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5.75" customHeight="1">
      <c r="A136" s="6"/>
      <c r="C136" s="14"/>
      <c r="D136" s="14"/>
      <c r="E136" s="7"/>
      <c r="F136" s="10"/>
      <c r="G136" s="10"/>
      <c r="H136" s="12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6"/>
      <c r="C137" s="14"/>
      <c r="D137" s="14"/>
      <c r="E137" s="7"/>
      <c r="F137" s="10"/>
      <c r="G137" s="10"/>
      <c r="H137" s="12"/>
      <c r="I137" s="10"/>
      <c r="J137" s="10"/>
      <c r="K137" s="10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6"/>
      <c r="C138" s="14"/>
      <c r="D138" s="14"/>
      <c r="E138" s="7"/>
      <c r="F138" s="10"/>
      <c r="G138" s="10"/>
      <c r="H138" s="12"/>
      <c r="I138" s="10"/>
      <c r="J138" s="10"/>
      <c r="K138" s="10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6"/>
      <c r="C139" s="14"/>
      <c r="D139" s="14"/>
      <c r="E139" s="7"/>
      <c r="F139" s="10"/>
      <c r="G139" s="10"/>
      <c r="H139" s="12"/>
      <c r="I139" s="10"/>
      <c r="J139" s="10"/>
      <c r="K139" s="10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6"/>
      <c r="C140" s="14"/>
      <c r="D140" s="14"/>
      <c r="E140" s="7"/>
      <c r="F140" s="10"/>
      <c r="G140" s="10"/>
      <c r="H140" s="12"/>
      <c r="I140" s="10"/>
      <c r="J140" s="10"/>
      <c r="K140" s="10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6"/>
      <c r="C141" s="14"/>
      <c r="D141" s="14"/>
      <c r="E141" s="7"/>
      <c r="F141" s="10"/>
      <c r="G141" s="10"/>
      <c r="H141" s="12"/>
      <c r="I141" s="10"/>
      <c r="J141" s="10"/>
      <c r="K141" s="10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6"/>
      <c r="C142" s="14"/>
      <c r="D142" s="14"/>
      <c r="E142" s="7"/>
      <c r="F142" s="10"/>
      <c r="G142" s="10"/>
      <c r="H142" s="12"/>
      <c r="I142" s="10"/>
      <c r="J142" s="10"/>
      <c r="K142" s="10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6"/>
      <c r="C143" s="14"/>
      <c r="D143" s="14"/>
      <c r="E143" s="7"/>
      <c r="F143" s="10"/>
      <c r="G143" s="10"/>
      <c r="H143" s="12"/>
      <c r="I143" s="10"/>
      <c r="J143" s="10"/>
      <c r="K143" s="10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6"/>
      <c r="C144" s="14"/>
      <c r="D144" s="14"/>
      <c r="E144" s="7"/>
      <c r="F144" s="10"/>
      <c r="G144" s="10"/>
      <c r="H144" s="12"/>
      <c r="I144" s="10"/>
      <c r="J144" s="10"/>
      <c r="K144" s="10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6"/>
      <c r="C145" s="14"/>
      <c r="D145" s="14"/>
      <c r="E145" s="7"/>
      <c r="F145" s="10"/>
      <c r="G145" s="10"/>
      <c r="H145" s="12"/>
      <c r="I145" s="10"/>
      <c r="J145" s="10"/>
      <c r="K145" s="10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6"/>
      <c r="C146" s="14"/>
      <c r="D146" s="14"/>
      <c r="E146" s="7"/>
      <c r="F146" s="10"/>
      <c r="G146" s="10"/>
      <c r="H146" s="12"/>
      <c r="I146" s="10"/>
      <c r="J146" s="10"/>
      <c r="K146" s="10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6"/>
      <c r="C147" s="14"/>
      <c r="D147" s="14"/>
      <c r="E147" s="7"/>
      <c r="F147" s="10"/>
      <c r="G147" s="10"/>
      <c r="H147" s="12"/>
      <c r="I147" s="10"/>
      <c r="J147" s="10"/>
      <c r="K147" s="10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6"/>
      <c r="C148" s="14"/>
      <c r="D148" s="14"/>
      <c r="E148" s="7"/>
      <c r="F148" s="10"/>
      <c r="G148" s="10"/>
      <c r="H148" s="12"/>
      <c r="I148" s="10"/>
      <c r="J148" s="10"/>
      <c r="K148" s="10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6"/>
      <c r="C149" s="14"/>
      <c r="D149" s="14"/>
      <c r="E149" s="7"/>
      <c r="F149" s="10"/>
      <c r="G149" s="10"/>
      <c r="H149" s="12"/>
      <c r="I149" s="10"/>
      <c r="J149" s="10"/>
      <c r="K149" s="10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6"/>
      <c r="C150" s="14"/>
      <c r="D150" s="14"/>
      <c r="E150" s="7"/>
      <c r="F150" s="10"/>
      <c r="G150" s="10"/>
      <c r="H150" s="12"/>
      <c r="I150" s="10"/>
      <c r="J150" s="10"/>
      <c r="K150" s="10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6"/>
      <c r="C151" s="14"/>
      <c r="D151" s="14"/>
      <c r="E151" s="7"/>
      <c r="F151" s="10"/>
      <c r="G151" s="10"/>
      <c r="H151" s="12"/>
      <c r="I151" s="10"/>
      <c r="J151" s="10"/>
      <c r="K151" s="10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6"/>
      <c r="C152" s="14"/>
      <c r="D152" s="14"/>
      <c r="E152" s="7"/>
      <c r="F152" s="10"/>
      <c r="G152" s="10"/>
      <c r="H152" s="12"/>
      <c r="I152" s="10"/>
      <c r="J152" s="10"/>
      <c r="K152" s="10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6"/>
      <c r="C153" s="14"/>
      <c r="D153" s="14"/>
      <c r="E153" s="7"/>
      <c r="F153" s="10"/>
      <c r="G153" s="10"/>
      <c r="H153" s="12"/>
      <c r="I153" s="10"/>
      <c r="J153" s="10"/>
      <c r="K153" s="10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6"/>
      <c r="C154" s="14"/>
      <c r="D154" s="14"/>
      <c r="E154" s="7"/>
      <c r="F154" s="10"/>
      <c r="G154" s="10"/>
      <c r="H154" s="12"/>
      <c r="I154" s="10"/>
      <c r="J154" s="10"/>
      <c r="K154" s="10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6"/>
      <c r="C155" s="14"/>
      <c r="D155" s="14"/>
      <c r="E155" s="7"/>
      <c r="F155" s="10"/>
      <c r="G155" s="10"/>
      <c r="H155" s="12"/>
      <c r="I155" s="10"/>
      <c r="J155" s="10"/>
      <c r="K155" s="10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6"/>
      <c r="C156" s="14"/>
      <c r="D156" s="14"/>
      <c r="E156" s="7"/>
      <c r="F156" s="10"/>
      <c r="G156" s="10"/>
      <c r="H156" s="12"/>
      <c r="I156" s="10"/>
      <c r="J156" s="10"/>
      <c r="K156" s="10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6"/>
      <c r="C157" s="14"/>
      <c r="D157" s="14"/>
      <c r="E157" s="7"/>
      <c r="F157" s="10"/>
      <c r="G157" s="10"/>
      <c r="H157" s="12"/>
      <c r="I157" s="10"/>
      <c r="J157" s="10"/>
      <c r="K157" s="10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6"/>
      <c r="C158" s="14"/>
      <c r="D158" s="14"/>
      <c r="E158" s="7"/>
      <c r="F158" s="10"/>
      <c r="G158" s="10"/>
      <c r="H158" s="12"/>
      <c r="I158" s="10"/>
      <c r="J158" s="10"/>
      <c r="K158" s="10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6"/>
      <c r="C159" s="14"/>
      <c r="D159" s="14"/>
      <c r="E159" s="7"/>
      <c r="F159" s="10"/>
      <c r="G159" s="10"/>
      <c r="H159" s="12"/>
      <c r="I159" s="10"/>
      <c r="J159" s="10"/>
      <c r="K159" s="10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6"/>
      <c r="C160" s="14"/>
      <c r="D160" s="14"/>
      <c r="E160" s="7"/>
      <c r="F160" s="10"/>
      <c r="G160" s="10"/>
      <c r="H160" s="12"/>
      <c r="I160" s="10"/>
      <c r="J160" s="10"/>
      <c r="K160" s="10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6"/>
      <c r="C161" s="14"/>
      <c r="D161" s="14"/>
      <c r="E161" s="7"/>
      <c r="F161" s="10"/>
      <c r="G161" s="10"/>
      <c r="H161" s="12"/>
      <c r="I161" s="10"/>
      <c r="J161" s="10"/>
      <c r="K161" s="10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6"/>
      <c r="C162" s="14"/>
      <c r="D162" s="14"/>
      <c r="E162" s="7"/>
      <c r="F162" s="10"/>
      <c r="G162" s="10"/>
      <c r="H162" s="12"/>
      <c r="I162" s="10"/>
      <c r="J162" s="10"/>
      <c r="K162" s="10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6"/>
      <c r="C163" s="14"/>
      <c r="D163" s="14"/>
      <c r="E163" s="7"/>
      <c r="F163" s="10"/>
      <c r="G163" s="10"/>
      <c r="H163" s="12"/>
      <c r="I163" s="10"/>
      <c r="J163" s="10"/>
      <c r="K163" s="10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6"/>
      <c r="C164" s="14"/>
      <c r="D164" s="14"/>
      <c r="E164" s="7"/>
      <c r="F164" s="10"/>
      <c r="G164" s="10"/>
      <c r="H164" s="12"/>
      <c r="I164" s="10"/>
      <c r="J164" s="10"/>
      <c r="K164" s="10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6"/>
      <c r="C165" s="14"/>
      <c r="D165" s="14"/>
      <c r="E165" s="7"/>
      <c r="F165" s="10"/>
      <c r="G165" s="10"/>
      <c r="H165" s="12"/>
      <c r="I165" s="10"/>
      <c r="J165" s="10"/>
      <c r="K165" s="10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6"/>
      <c r="C166" s="14"/>
      <c r="D166" s="14"/>
      <c r="E166" s="7"/>
      <c r="F166" s="10"/>
      <c r="G166" s="10"/>
      <c r="H166" s="12"/>
      <c r="I166" s="10"/>
      <c r="J166" s="10"/>
      <c r="K166" s="10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6"/>
      <c r="C167" s="14"/>
      <c r="D167" s="14"/>
      <c r="E167" s="7"/>
      <c r="F167" s="10"/>
      <c r="G167" s="10"/>
      <c r="H167" s="12"/>
      <c r="I167" s="10"/>
      <c r="J167" s="10"/>
      <c r="K167" s="10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6"/>
      <c r="C168" s="14"/>
      <c r="D168" s="14"/>
      <c r="E168" s="7"/>
      <c r="F168" s="10"/>
      <c r="G168" s="10"/>
      <c r="H168" s="12"/>
      <c r="I168" s="10"/>
      <c r="J168" s="10"/>
      <c r="K168" s="10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6"/>
      <c r="C169" s="14"/>
      <c r="D169" s="14"/>
      <c r="E169" s="7"/>
      <c r="F169" s="10"/>
      <c r="G169" s="10"/>
      <c r="H169" s="12"/>
      <c r="I169" s="10"/>
      <c r="J169" s="10"/>
      <c r="K169" s="10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6"/>
      <c r="C170" s="14"/>
      <c r="D170" s="14"/>
      <c r="E170" s="7"/>
      <c r="F170" s="10"/>
      <c r="G170" s="10"/>
      <c r="H170" s="12"/>
      <c r="I170" s="10"/>
      <c r="J170" s="10"/>
      <c r="K170" s="10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6"/>
      <c r="C171" s="14"/>
      <c r="D171" s="14"/>
      <c r="E171" s="7"/>
      <c r="F171" s="10"/>
      <c r="G171" s="10"/>
      <c r="H171" s="12"/>
      <c r="I171" s="10"/>
      <c r="J171" s="10"/>
      <c r="K171" s="10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6"/>
      <c r="C172" s="14"/>
      <c r="D172" s="14"/>
      <c r="E172" s="7"/>
      <c r="F172" s="10"/>
      <c r="G172" s="10"/>
      <c r="H172" s="12"/>
      <c r="I172" s="10"/>
      <c r="J172" s="10"/>
      <c r="K172" s="10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6"/>
      <c r="C173" s="14"/>
      <c r="D173" s="14"/>
      <c r="E173" s="7"/>
      <c r="F173" s="10"/>
      <c r="G173" s="10"/>
      <c r="H173" s="12"/>
      <c r="I173" s="10"/>
      <c r="J173" s="10"/>
      <c r="K173" s="10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6"/>
      <c r="C174" s="14"/>
      <c r="D174" s="14"/>
      <c r="E174" s="7"/>
      <c r="F174" s="10"/>
      <c r="G174" s="10"/>
      <c r="H174" s="12"/>
      <c r="I174" s="10"/>
      <c r="J174" s="10"/>
      <c r="K174" s="10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6"/>
      <c r="C175" s="14"/>
      <c r="D175" s="14"/>
      <c r="E175" s="7"/>
      <c r="F175" s="10"/>
      <c r="G175" s="10"/>
      <c r="H175" s="12"/>
      <c r="I175" s="10"/>
      <c r="J175" s="10"/>
      <c r="K175" s="10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6"/>
      <c r="C176" s="14"/>
      <c r="D176" s="14"/>
      <c r="E176" s="7"/>
      <c r="F176" s="10"/>
      <c r="G176" s="10"/>
      <c r="H176" s="12"/>
      <c r="I176" s="10"/>
      <c r="J176" s="10"/>
      <c r="K176" s="10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6"/>
      <c r="C177" s="14"/>
      <c r="D177" s="14"/>
      <c r="E177" s="7"/>
      <c r="F177" s="10"/>
      <c r="G177" s="10"/>
      <c r="H177" s="12"/>
      <c r="I177" s="10"/>
      <c r="J177" s="10"/>
      <c r="K177" s="10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6"/>
      <c r="C178" s="14"/>
      <c r="D178" s="14"/>
      <c r="E178" s="7"/>
      <c r="F178" s="10"/>
      <c r="G178" s="10"/>
      <c r="H178" s="12"/>
      <c r="I178" s="10"/>
      <c r="J178" s="10"/>
      <c r="K178" s="10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6"/>
      <c r="C179" s="14"/>
      <c r="D179" s="14"/>
      <c r="E179" s="7"/>
      <c r="F179" s="10"/>
      <c r="G179" s="10"/>
      <c r="H179" s="12"/>
      <c r="I179" s="10"/>
      <c r="J179" s="10"/>
      <c r="K179" s="10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6"/>
      <c r="C180" s="14"/>
      <c r="D180" s="14"/>
      <c r="E180" s="7"/>
      <c r="F180" s="10"/>
      <c r="G180" s="10"/>
      <c r="H180" s="12"/>
      <c r="I180" s="10"/>
      <c r="J180" s="10"/>
      <c r="K180" s="10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75" customHeight="1">
      <c r="A181" s="6"/>
      <c r="C181" s="14"/>
      <c r="D181" s="14"/>
      <c r="E181" s="7"/>
      <c r="F181" s="10"/>
      <c r="G181" s="10"/>
      <c r="H181" s="12"/>
      <c r="I181" s="10"/>
      <c r="J181" s="10"/>
      <c r="K181" s="10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6"/>
      <c r="C182" s="14"/>
      <c r="D182" s="14"/>
      <c r="E182" s="7"/>
      <c r="F182" s="10"/>
      <c r="G182" s="10"/>
      <c r="H182" s="12"/>
      <c r="I182" s="10"/>
      <c r="J182" s="10"/>
      <c r="K182" s="10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6"/>
      <c r="C183" s="14"/>
      <c r="D183" s="14"/>
      <c r="E183" s="7"/>
      <c r="F183" s="10"/>
      <c r="G183" s="10"/>
      <c r="H183" s="12"/>
      <c r="I183" s="10"/>
      <c r="J183" s="10"/>
      <c r="K183" s="10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6"/>
      <c r="C184" s="14"/>
      <c r="D184" s="14"/>
      <c r="E184" s="7"/>
      <c r="F184" s="10"/>
      <c r="G184" s="10"/>
      <c r="H184" s="12"/>
      <c r="I184" s="10"/>
      <c r="J184" s="10"/>
      <c r="K184" s="10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6"/>
      <c r="C185" s="14"/>
      <c r="D185" s="14"/>
      <c r="E185" s="7"/>
      <c r="F185" s="10"/>
      <c r="G185" s="10"/>
      <c r="H185" s="12"/>
      <c r="I185" s="10"/>
      <c r="J185" s="10"/>
      <c r="K185" s="10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6"/>
      <c r="C186" s="14"/>
      <c r="D186" s="14"/>
      <c r="E186" s="7"/>
      <c r="F186" s="10"/>
      <c r="G186" s="10"/>
      <c r="H186" s="12"/>
      <c r="I186" s="10"/>
      <c r="J186" s="10"/>
      <c r="K186" s="10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6"/>
      <c r="C187" s="14"/>
      <c r="D187" s="14"/>
      <c r="E187" s="7"/>
      <c r="F187" s="10"/>
      <c r="G187" s="10"/>
      <c r="H187" s="12"/>
      <c r="I187" s="10"/>
      <c r="J187" s="10"/>
      <c r="K187" s="10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6"/>
      <c r="C188" s="14"/>
      <c r="D188" s="14"/>
      <c r="E188" s="7"/>
      <c r="F188" s="10"/>
      <c r="G188" s="10"/>
      <c r="H188" s="12"/>
      <c r="I188" s="10"/>
      <c r="J188" s="10"/>
      <c r="K188" s="10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6"/>
      <c r="C189" s="14"/>
      <c r="D189" s="14"/>
      <c r="E189" s="7"/>
      <c r="F189" s="10"/>
      <c r="G189" s="10"/>
      <c r="H189" s="12"/>
      <c r="I189" s="10"/>
      <c r="J189" s="10"/>
      <c r="K189" s="10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5.75" customHeight="1">
      <c r="A190" s="6"/>
      <c r="C190" s="14"/>
      <c r="D190" s="14"/>
      <c r="E190" s="7"/>
      <c r="F190" s="10"/>
      <c r="G190" s="10"/>
      <c r="H190" s="12"/>
      <c r="I190" s="10"/>
      <c r="J190" s="10"/>
      <c r="K190" s="10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6"/>
      <c r="C191" s="14"/>
      <c r="D191" s="14"/>
      <c r="E191" s="7"/>
      <c r="F191" s="10"/>
      <c r="G191" s="10"/>
      <c r="H191" s="12"/>
      <c r="I191" s="10"/>
      <c r="J191" s="10"/>
      <c r="K191" s="10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6"/>
      <c r="C192" s="14"/>
      <c r="D192" s="14"/>
      <c r="E192" s="7"/>
      <c r="F192" s="10"/>
      <c r="G192" s="10"/>
      <c r="H192" s="12"/>
      <c r="I192" s="10"/>
      <c r="J192" s="10"/>
      <c r="K192" s="10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6"/>
      <c r="C193" s="14"/>
      <c r="D193" s="14"/>
      <c r="E193" s="7"/>
      <c r="F193" s="10"/>
      <c r="G193" s="10"/>
      <c r="H193" s="12"/>
      <c r="I193" s="10"/>
      <c r="J193" s="10"/>
      <c r="K193" s="10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6"/>
      <c r="C194" s="14"/>
      <c r="D194" s="14"/>
      <c r="E194" s="7"/>
      <c r="F194" s="10"/>
      <c r="G194" s="10"/>
      <c r="H194" s="12"/>
      <c r="I194" s="10"/>
      <c r="J194" s="10"/>
      <c r="K194" s="10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6"/>
      <c r="C195" s="14"/>
      <c r="D195" s="14"/>
      <c r="E195" s="7"/>
      <c r="F195" s="10"/>
      <c r="G195" s="10"/>
      <c r="H195" s="12"/>
      <c r="I195" s="10"/>
      <c r="J195" s="10"/>
      <c r="K195" s="10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6"/>
      <c r="C196" s="14"/>
      <c r="D196" s="14"/>
      <c r="E196" s="7"/>
      <c r="F196" s="10"/>
      <c r="G196" s="10"/>
      <c r="H196" s="12"/>
      <c r="I196" s="10"/>
      <c r="J196" s="10"/>
      <c r="K196" s="10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6"/>
      <c r="C197" s="14"/>
      <c r="D197" s="14"/>
      <c r="E197" s="7"/>
      <c r="F197" s="10"/>
      <c r="G197" s="10"/>
      <c r="H197" s="12"/>
      <c r="I197" s="10"/>
      <c r="J197" s="10"/>
      <c r="K197" s="10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6"/>
      <c r="C198" s="14"/>
      <c r="D198" s="14"/>
      <c r="E198" s="7"/>
      <c r="F198" s="10"/>
      <c r="G198" s="10"/>
      <c r="H198" s="12"/>
      <c r="I198" s="10"/>
      <c r="J198" s="10"/>
      <c r="K198" s="10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6"/>
      <c r="C199" s="14"/>
      <c r="D199" s="14"/>
      <c r="E199" s="7"/>
      <c r="F199" s="10"/>
      <c r="G199" s="10"/>
      <c r="H199" s="12"/>
      <c r="I199" s="10"/>
      <c r="J199" s="10"/>
      <c r="K199" s="10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6"/>
      <c r="C200" s="14"/>
      <c r="D200" s="14"/>
      <c r="E200" s="7"/>
      <c r="F200" s="10"/>
      <c r="G200" s="10"/>
      <c r="H200" s="12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6"/>
      <c r="C201" s="14"/>
      <c r="D201" s="14"/>
      <c r="E201" s="7"/>
      <c r="F201" s="10"/>
      <c r="G201" s="10"/>
      <c r="H201" s="12"/>
      <c r="I201" s="10"/>
      <c r="J201" s="10"/>
      <c r="K201" s="10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6"/>
      <c r="C202" s="14"/>
      <c r="D202" s="14"/>
      <c r="E202" s="7"/>
      <c r="F202" s="10"/>
      <c r="G202" s="10"/>
      <c r="H202" s="12"/>
      <c r="I202" s="10"/>
      <c r="J202" s="10"/>
      <c r="K202" s="10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6"/>
      <c r="C203" s="14"/>
      <c r="D203" s="14"/>
      <c r="E203" s="7"/>
      <c r="F203" s="10"/>
      <c r="G203" s="10"/>
      <c r="H203" s="12"/>
      <c r="I203" s="10"/>
      <c r="J203" s="10"/>
      <c r="K203" s="10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6"/>
      <c r="C204" s="14"/>
      <c r="D204" s="14"/>
      <c r="E204" s="7"/>
      <c r="F204" s="10"/>
      <c r="G204" s="10"/>
      <c r="H204" s="12"/>
      <c r="I204" s="10"/>
      <c r="J204" s="10"/>
      <c r="K204" s="10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6"/>
      <c r="C205" s="14"/>
      <c r="D205" s="14"/>
      <c r="E205" s="7"/>
      <c r="F205" s="10"/>
      <c r="G205" s="10"/>
      <c r="H205" s="12"/>
      <c r="I205" s="10"/>
      <c r="J205" s="10"/>
      <c r="K205" s="10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6"/>
      <c r="C206" s="14"/>
      <c r="D206" s="14"/>
      <c r="E206" s="7"/>
      <c r="F206" s="10"/>
      <c r="G206" s="10"/>
      <c r="H206" s="12"/>
      <c r="I206" s="10"/>
      <c r="J206" s="10"/>
      <c r="K206" s="10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6"/>
      <c r="C207" s="14"/>
      <c r="D207" s="14"/>
      <c r="E207" s="7"/>
      <c r="F207" s="10"/>
      <c r="G207" s="10"/>
      <c r="H207" s="12"/>
      <c r="I207" s="10"/>
      <c r="J207" s="10"/>
      <c r="K207" s="10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5.75" customHeight="1">
      <c r="A208" s="6"/>
      <c r="C208" s="14"/>
      <c r="D208" s="14"/>
      <c r="E208" s="7"/>
      <c r="F208" s="10"/>
      <c r="G208" s="10"/>
      <c r="H208" s="12"/>
      <c r="I208" s="10"/>
      <c r="J208" s="10"/>
      <c r="K208" s="10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6"/>
      <c r="C209" s="14"/>
      <c r="D209" s="14"/>
      <c r="E209" s="7"/>
      <c r="F209" s="10"/>
      <c r="G209" s="10"/>
      <c r="H209" s="12"/>
      <c r="I209" s="10"/>
      <c r="J209" s="10"/>
      <c r="K209" s="10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5.75" customHeight="1">
      <c r="A210" s="6"/>
      <c r="C210" s="14"/>
      <c r="D210" s="14"/>
      <c r="E210" s="7"/>
      <c r="F210" s="10"/>
      <c r="G210" s="10"/>
      <c r="H210" s="12"/>
      <c r="I210" s="10"/>
      <c r="J210" s="10"/>
      <c r="K210" s="10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6"/>
      <c r="C211" s="14"/>
      <c r="D211" s="14"/>
      <c r="E211" s="7"/>
      <c r="F211" s="10"/>
      <c r="G211" s="10"/>
      <c r="H211" s="12"/>
      <c r="I211" s="10"/>
      <c r="J211" s="10"/>
      <c r="K211" s="10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6"/>
      <c r="C212" s="14"/>
      <c r="D212" s="14"/>
      <c r="E212" s="7"/>
      <c r="F212" s="10"/>
      <c r="G212" s="10"/>
      <c r="H212" s="12"/>
      <c r="I212" s="10"/>
      <c r="J212" s="10"/>
      <c r="K212" s="10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5.75" customHeight="1">
      <c r="A213" s="6"/>
      <c r="C213" s="14"/>
      <c r="D213" s="14"/>
      <c r="E213" s="7"/>
      <c r="F213" s="10"/>
      <c r="G213" s="10"/>
      <c r="H213" s="12"/>
      <c r="I213" s="10"/>
      <c r="J213" s="10"/>
      <c r="K213" s="10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5.75" customHeight="1">
      <c r="A214" s="6"/>
      <c r="C214" s="14"/>
      <c r="D214" s="14"/>
      <c r="E214" s="7"/>
      <c r="F214" s="10"/>
      <c r="G214" s="10"/>
      <c r="H214" s="12"/>
      <c r="I214" s="10"/>
      <c r="J214" s="10"/>
      <c r="K214" s="10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5.75" customHeight="1">
      <c r="A215" s="6"/>
      <c r="C215" s="14"/>
      <c r="D215" s="14"/>
      <c r="E215" s="7"/>
      <c r="F215" s="10"/>
      <c r="G215" s="10"/>
      <c r="H215" s="12"/>
      <c r="I215" s="10"/>
      <c r="J215" s="10"/>
      <c r="K215" s="10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6"/>
      <c r="C216" s="14"/>
      <c r="D216" s="14"/>
      <c r="E216" s="7"/>
      <c r="F216" s="10"/>
      <c r="G216" s="10"/>
      <c r="H216" s="12"/>
      <c r="I216" s="10"/>
      <c r="J216" s="10"/>
      <c r="K216" s="10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6"/>
      <c r="C217" s="14"/>
      <c r="D217" s="14"/>
      <c r="E217" s="7"/>
      <c r="F217" s="10"/>
      <c r="G217" s="10"/>
      <c r="H217" s="12"/>
      <c r="I217" s="10"/>
      <c r="J217" s="10"/>
      <c r="K217" s="10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6"/>
      <c r="C218" s="14"/>
      <c r="D218" s="14"/>
      <c r="E218" s="7"/>
      <c r="F218" s="10"/>
      <c r="G218" s="10"/>
      <c r="H218" s="12"/>
      <c r="I218" s="10"/>
      <c r="J218" s="10"/>
      <c r="K218" s="10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6"/>
      <c r="C219" s="14"/>
      <c r="D219" s="14"/>
      <c r="E219" s="7"/>
      <c r="F219" s="10"/>
      <c r="G219" s="10"/>
      <c r="H219" s="12"/>
      <c r="I219" s="10"/>
      <c r="J219" s="10"/>
      <c r="K219" s="10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5.75" customHeight="1">
      <c r="A220" s="6"/>
      <c r="C220" s="14"/>
      <c r="D220" s="14"/>
      <c r="E220" s="7"/>
      <c r="F220" s="10"/>
      <c r="G220" s="10"/>
      <c r="H220" s="12"/>
      <c r="I220" s="10"/>
      <c r="J220" s="10"/>
      <c r="K220" s="10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6"/>
      <c r="C221" s="14"/>
      <c r="D221" s="14"/>
      <c r="E221" s="7"/>
      <c r="F221" s="10"/>
      <c r="G221" s="10"/>
      <c r="H221" s="12"/>
      <c r="I221" s="10"/>
      <c r="J221" s="10"/>
      <c r="K221" s="10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6"/>
      <c r="C222" s="14"/>
      <c r="D222" s="14"/>
      <c r="E222" s="7"/>
      <c r="F222" s="10"/>
      <c r="G222" s="10"/>
      <c r="H222" s="12"/>
      <c r="I222" s="10"/>
      <c r="J222" s="10"/>
      <c r="K222" s="10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5.75" customHeight="1">
      <c r="A223" s="6"/>
      <c r="C223" s="14"/>
      <c r="D223" s="14"/>
      <c r="E223" s="7"/>
      <c r="F223" s="10"/>
      <c r="G223" s="10"/>
      <c r="H223" s="12"/>
      <c r="I223" s="10"/>
      <c r="J223" s="10"/>
      <c r="K223" s="10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5.75" customHeight="1">
      <c r="A224" s="6"/>
      <c r="C224" s="14"/>
      <c r="D224" s="14"/>
      <c r="E224" s="7"/>
      <c r="F224" s="10"/>
      <c r="G224" s="10"/>
      <c r="H224" s="12"/>
      <c r="I224" s="10"/>
      <c r="J224" s="10"/>
      <c r="K224" s="10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5.75" customHeight="1">
      <c r="A225" s="6"/>
      <c r="C225" s="14"/>
      <c r="D225" s="14"/>
      <c r="E225" s="7"/>
      <c r="F225" s="10"/>
      <c r="G225" s="10"/>
      <c r="H225" s="12"/>
      <c r="I225" s="10"/>
      <c r="J225" s="10"/>
      <c r="K225" s="10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6"/>
      <c r="C226" s="14"/>
      <c r="D226" s="14"/>
      <c r="E226" s="7"/>
      <c r="F226" s="10"/>
      <c r="G226" s="10"/>
      <c r="H226" s="12"/>
      <c r="I226" s="10"/>
      <c r="J226" s="10"/>
      <c r="K226" s="10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6"/>
      <c r="C227" s="14"/>
      <c r="D227" s="14"/>
      <c r="E227" s="7"/>
      <c r="F227" s="10"/>
      <c r="G227" s="10"/>
      <c r="H227" s="12"/>
      <c r="I227" s="10"/>
      <c r="J227" s="10"/>
      <c r="K227" s="10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5.75" customHeight="1">
      <c r="A228" s="6"/>
      <c r="C228" s="14"/>
      <c r="D228" s="14"/>
      <c r="E228" s="7"/>
      <c r="F228" s="10"/>
      <c r="G228" s="10"/>
      <c r="H228" s="12"/>
      <c r="I228" s="10"/>
      <c r="J228" s="10"/>
      <c r="K228" s="10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5.75" customHeight="1">
      <c r="A229" s="6"/>
      <c r="C229" s="14"/>
      <c r="D229" s="14"/>
      <c r="E229" s="7"/>
      <c r="F229" s="10"/>
      <c r="G229" s="10"/>
      <c r="H229" s="12"/>
      <c r="I229" s="10"/>
      <c r="J229" s="10"/>
      <c r="K229" s="10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5.75" customHeight="1">
      <c r="A230" s="6"/>
      <c r="C230" s="14"/>
      <c r="D230" s="14"/>
      <c r="E230" s="7"/>
      <c r="F230" s="10"/>
      <c r="G230" s="10"/>
      <c r="H230" s="12"/>
      <c r="I230" s="10"/>
      <c r="J230" s="10"/>
      <c r="K230" s="10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6"/>
      <c r="C231" s="14"/>
      <c r="D231" s="14"/>
      <c r="E231" s="7"/>
      <c r="F231" s="10"/>
      <c r="G231" s="10"/>
      <c r="H231" s="12"/>
      <c r="I231" s="10"/>
      <c r="J231" s="10"/>
      <c r="K231" s="10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6"/>
      <c r="C232" s="14"/>
      <c r="D232" s="14"/>
      <c r="E232" s="7"/>
      <c r="F232" s="10"/>
      <c r="G232" s="10"/>
      <c r="H232" s="12"/>
      <c r="I232" s="10"/>
      <c r="J232" s="10"/>
      <c r="K232" s="10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5.75" customHeight="1">
      <c r="A233" s="6"/>
      <c r="C233" s="14"/>
      <c r="D233" s="14"/>
      <c r="E233" s="7"/>
      <c r="F233" s="10"/>
      <c r="G233" s="10"/>
      <c r="H233" s="12"/>
      <c r="I233" s="10"/>
      <c r="J233" s="10"/>
      <c r="K233" s="10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5.75" customHeight="1">
      <c r="A234" s="6"/>
      <c r="C234" s="14"/>
      <c r="D234" s="14"/>
      <c r="E234" s="7"/>
      <c r="F234" s="10"/>
      <c r="G234" s="10"/>
      <c r="H234" s="12"/>
      <c r="I234" s="10"/>
      <c r="J234" s="10"/>
      <c r="K234" s="10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5.75" customHeight="1">
      <c r="A235" s="6"/>
      <c r="C235" s="14"/>
      <c r="D235" s="14"/>
      <c r="E235" s="7"/>
      <c r="F235" s="10"/>
      <c r="G235" s="10"/>
      <c r="H235" s="12"/>
      <c r="I235" s="10"/>
      <c r="J235" s="10"/>
      <c r="K235" s="10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5.75" customHeight="1">
      <c r="A236" s="6"/>
      <c r="C236" s="14"/>
      <c r="D236" s="14"/>
      <c r="E236" s="7"/>
      <c r="F236" s="10"/>
      <c r="G236" s="10"/>
      <c r="H236" s="12"/>
      <c r="I236" s="10"/>
      <c r="J236" s="10"/>
      <c r="K236" s="10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6"/>
      <c r="C237" s="14"/>
      <c r="D237" s="14"/>
      <c r="E237" s="7"/>
      <c r="F237" s="10"/>
      <c r="G237" s="10"/>
      <c r="H237" s="12"/>
      <c r="I237" s="10"/>
      <c r="J237" s="10"/>
      <c r="K237" s="10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5.75" customHeight="1">
      <c r="A238" s="6"/>
      <c r="C238" s="14"/>
      <c r="D238" s="14"/>
      <c r="E238" s="7"/>
      <c r="F238" s="10"/>
      <c r="G238" s="10"/>
      <c r="H238" s="12"/>
      <c r="I238" s="10"/>
      <c r="J238" s="10"/>
      <c r="K238" s="10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5.75" customHeight="1">
      <c r="A239" s="6"/>
      <c r="C239" s="14"/>
      <c r="D239" s="14"/>
      <c r="E239" s="7"/>
      <c r="F239" s="10"/>
      <c r="G239" s="10"/>
      <c r="H239" s="12"/>
      <c r="I239" s="10"/>
      <c r="J239" s="10"/>
      <c r="K239" s="10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6"/>
      <c r="C240" s="14"/>
      <c r="D240" s="14"/>
      <c r="E240" s="7"/>
      <c r="F240" s="10"/>
      <c r="G240" s="10"/>
      <c r="H240" s="12"/>
      <c r="I240" s="10"/>
      <c r="J240" s="10"/>
      <c r="K240" s="10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6"/>
      <c r="C241" s="14"/>
      <c r="D241" s="14"/>
      <c r="E241" s="7"/>
      <c r="F241" s="10"/>
      <c r="G241" s="10"/>
      <c r="H241" s="12"/>
      <c r="I241" s="10"/>
      <c r="J241" s="10"/>
      <c r="K241" s="10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6"/>
      <c r="C242" s="14"/>
      <c r="D242" s="14"/>
      <c r="E242" s="7"/>
      <c r="F242" s="10"/>
      <c r="G242" s="10"/>
      <c r="H242" s="12"/>
      <c r="I242" s="10"/>
      <c r="J242" s="10"/>
      <c r="K242" s="10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5.75" customHeight="1">
      <c r="A243" s="6"/>
      <c r="C243" s="14"/>
      <c r="D243" s="14"/>
      <c r="E243" s="7"/>
      <c r="F243" s="10"/>
      <c r="G243" s="10"/>
      <c r="H243" s="12"/>
      <c r="I243" s="10"/>
      <c r="J243" s="10"/>
      <c r="K243" s="10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6"/>
      <c r="C244" s="14"/>
      <c r="D244" s="14"/>
      <c r="E244" s="7"/>
      <c r="F244" s="10"/>
      <c r="G244" s="10"/>
      <c r="H244" s="12"/>
      <c r="I244" s="10"/>
      <c r="J244" s="10"/>
      <c r="K244" s="10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5.75" customHeight="1">
      <c r="A245" s="6"/>
      <c r="C245" s="14"/>
      <c r="D245" s="14"/>
      <c r="E245" s="7"/>
      <c r="F245" s="10"/>
      <c r="G245" s="10"/>
      <c r="H245" s="12"/>
      <c r="I245" s="10"/>
      <c r="J245" s="10"/>
      <c r="K245" s="10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75" customHeight="1">
      <c r="A246" s="6"/>
      <c r="C246" s="14"/>
      <c r="D246" s="14"/>
      <c r="E246" s="7"/>
      <c r="F246" s="10"/>
      <c r="G246" s="10"/>
      <c r="H246" s="12"/>
      <c r="I246" s="10"/>
      <c r="J246" s="10"/>
      <c r="K246" s="10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75" customHeight="1">
      <c r="A247" s="6"/>
      <c r="C247" s="14"/>
      <c r="D247" s="14"/>
      <c r="E247" s="7"/>
      <c r="F247" s="10"/>
      <c r="G247" s="10"/>
      <c r="H247" s="12"/>
      <c r="I247" s="10"/>
      <c r="J247" s="10"/>
      <c r="K247" s="10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5.75" customHeight="1">
      <c r="A248" s="6"/>
      <c r="C248" s="14"/>
      <c r="D248" s="14"/>
      <c r="E248" s="7"/>
      <c r="F248" s="10"/>
      <c r="G248" s="10"/>
      <c r="H248" s="12"/>
      <c r="I248" s="10"/>
      <c r="J248" s="10"/>
      <c r="K248" s="10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75" customHeight="1">
      <c r="A249" s="6"/>
      <c r="C249" s="14"/>
      <c r="D249" s="14"/>
      <c r="E249" s="7"/>
      <c r="F249" s="10"/>
      <c r="G249" s="10"/>
      <c r="H249" s="12"/>
      <c r="I249" s="10"/>
      <c r="J249" s="10"/>
      <c r="K249" s="10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5.75" customHeight="1">
      <c r="A250" s="6"/>
      <c r="C250" s="14"/>
      <c r="D250" s="14"/>
      <c r="E250" s="7"/>
      <c r="F250" s="10"/>
      <c r="G250" s="10"/>
      <c r="H250" s="12"/>
      <c r="I250" s="10"/>
      <c r="J250" s="10"/>
      <c r="K250" s="10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5.75" customHeight="1">
      <c r="A251" s="6"/>
      <c r="C251" s="14"/>
      <c r="D251" s="14"/>
      <c r="E251" s="7"/>
      <c r="F251" s="10"/>
      <c r="G251" s="10"/>
      <c r="H251" s="12"/>
      <c r="I251" s="10"/>
      <c r="J251" s="10"/>
      <c r="K251" s="10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5.75" customHeight="1">
      <c r="A252" s="6"/>
      <c r="C252" s="14"/>
      <c r="D252" s="14"/>
      <c r="E252" s="7"/>
      <c r="F252" s="10"/>
      <c r="G252" s="10"/>
      <c r="H252" s="12"/>
      <c r="I252" s="10"/>
      <c r="J252" s="10"/>
      <c r="K252" s="10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5.75" customHeight="1">
      <c r="A253" s="6"/>
      <c r="C253" s="14"/>
      <c r="D253" s="14"/>
      <c r="E253" s="7"/>
      <c r="F253" s="10"/>
      <c r="G253" s="10"/>
      <c r="H253" s="12"/>
      <c r="I253" s="10"/>
      <c r="J253" s="10"/>
      <c r="K253" s="10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75" customHeight="1">
      <c r="A254" s="6"/>
      <c r="C254" s="14"/>
      <c r="D254" s="14"/>
      <c r="E254" s="7"/>
      <c r="F254" s="10"/>
      <c r="G254" s="10"/>
      <c r="H254" s="12"/>
      <c r="I254" s="10"/>
      <c r="J254" s="10"/>
      <c r="K254" s="10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5.75" customHeight="1">
      <c r="A255" s="6"/>
      <c r="C255" s="14"/>
      <c r="D255" s="14"/>
      <c r="E255" s="7"/>
      <c r="F255" s="10"/>
      <c r="G255" s="10"/>
      <c r="H255" s="12"/>
      <c r="I255" s="10"/>
      <c r="J255" s="10"/>
      <c r="K255" s="10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75" customHeight="1">
      <c r="A256" s="6"/>
      <c r="C256" s="14"/>
      <c r="D256" s="14"/>
      <c r="E256" s="7"/>
      <c r="F256" s="10"/>
      <c r="G256" s="10"/>
      <c r="H256" s="12"/>
      <c r="I256" s="10"/>
      <c r="J256" s="10"/>
      <c r="K256" s="10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75" customHeight="1">
      <c r="A257" s="6"/>
      <c r="C257" s="14"/>
      <c r="D257" s="14"/>
      <c r="E257" s="7"/>
      <c r="F257" s="10"/>
      <c r="G257" s="10"/>
      <c r="H257" s="12"/>
      <c r="I257" s="10"/>
      <c r="J257" s="10"/>
      <c r="K257" s="10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5.75" customHeight="1">
      <c r="A258" s="6"/>
      <c r="C258" s="14"/>
      <c r="D258" s="14"/>
      <c r="E258" s="7"/>
      <c r="F258" s="10"/>
      <c r="G258" s="10"/>
      <c r="H258" s="12"/>
      <c r="I258" s="10"/>
      <c r="J258" s="10"/>
      <c r="K258" s="10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75" customHeight="1">
      <c r="A259" s="6"/>
      <c r="C259" s="14"/>
      <c r="D259" s="14"/>
      <c r="E259" s="7"/>
      <c r="F259" s="10"/>
      <c r="G259" s="10"/>
      <c r="H259" s="12"/>
      <c r="I259" s="10"/>
      <c r="J259" s="10"/>
      <c r="K259" s="10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5.75" customHeight="1">
      <c r="A260" s="6"/>
      <c r="C260" s="14"/>
      <c r="D260" s="14"/>
      <c r="E260" s="7"/>
      <c r="F260" s="10"/>
      <c r="G260" s="10"/>
      <c r="H260" s="12"/>
      <c r="I260" s="10"/>
      <c r="J260" s="10"/>
      <c r="K260" s="10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6"/>
      <c r="C261" s="14"/>
      <c r="D261" s="14"/>
      <c r="E261" s="7"/>
      <c r="F261" s="10"/>
      <c r="G261" s="10"/>
      <c r="H261" s="12"/>
      <c r="I261" s="10"/>
      <c r="J261" s="10"/>
      <c r="K261" s="10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6"/>
      <c r="C262" s="14"/>
      <c r="D262" s="14"/>
      <c r="E262" s="7"/>
      <c r="F262" s="10"/>
      <c r="G262" s="10"/>
      <c r="H262" s="12"/>
      <c r="I262" s="10"/>
      <c r="J262" s="10"/>
      <c r="K262" s="10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5.75" customHeight="1">
      <c r="A263" s="6"/>
      <c r="C263" s="14"/>
      <c r="D263" s="14"/>
      <c r="E263" s="7"/>
      <c r="F263" s="10"/>
      <c r="G263" s="10"/>
      <c r="H263" s="12"/>
      <c r="I263" s="10"/>
      <c r="J263" s="10"/>
      <c r="K263" s="10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5.75" customHeight="1">
      <c r="A264" s="6"/>
      <c r="C264" s="14"/>
      <c r="D264" s="14"/>
      <c r="E264" s="7"/>
      <c r="F264" s="10"/>
      <c r="G264" s="10"/>
      <c r="H264" s="12"/>
      <c r="I264" s="10"/>
      <c r="J264" s="10"/>
      <c r="K264" s="1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5.75" customHeight="1">
      <c r="A265" s="6"/>
      <c r="C265" s="14"/>
      <c r="D265" s="14"/>
      <c r="E265" s="7"/>
      <c r="F265" s="10"/>
      <c r="G265" s="10"/>
      <c r="H265" s="12"/>
      <c r="I265" s="10"/>
      <c r="J265" s="10"/>
      <c r="K265" s="10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6"/>
      <c r="C266" s="14"/>
      <c r="D266" s="14"/>
      <c r="E266" s="7"/>
      <c r="F266" s="10"/>
      <c r="G266" s="10"/>
      <c r="H266" s="12"/>
      <c r="I266" s="10"/>
      <c r="J266" s="10"/>
      <c r="K266" s="10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6"/>
      <c r="C267" s="14"/>
      <c r="D267" s="14"/>
      <c r="E267" s="7"/>
      <c r="F267" s="10"/>
      <c r="G267" s="10"/>
      <c r="H267" s="12"/>
      <c r="I267" s="10"/>
      <c r="J267" s="10"/>
      <c r="K267" s="10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5.75" customHeight="1">
      <c r="A268" s="6"/>
      <c r="C268" s="14"/>
      <c r="D268" s="14"/>
      <c r="E268" s="7"/>
      <c r="F268" s="10"/>
      <c r="G268" s="10"/>
      <c r="H268" s="12"/>
      <c r="I268" s="10"/>
      <c r="J268" s="10"/>
      <c r="K268" s="10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6"/>
      <c r="C269" s="14"/>
      <c r="D269" s="14"/>
      <c r="E269" s="7"/>
      <c r="F269" s="10"/>
      <c r="G269" s="10"/>
      <c r="H269" s="12"/>
      <c r="I269" s="10"/>
      <c r="J269" s="10"/>
      <c r="K269" s="10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5.75" customHeight="1">
      <c r="A270" s="6"/>
      <c r="C270" s="14"/>
      <c r="D270" s="14"/>
      <c r="E270" s="7"/>
      <c r="F270" s="10"/>
      <c r="G270" s="10"/>
      <c r="H270" s="12"/>
      <c r="I270" s="10"/>
      <c r="J270" s="10"/>
      <c r="K270" s="10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6"/>
      <c r="C271" s="14"/>
      <c r="D271" s="14"/>
      <c r="E271" s="7"/>
      <c r="F271" s="10"/>
      <c r="G271" s="10"/>
      <c r="H271" s="12"/>
      <c r="I271" s="10"/>
      <c r="J271" s="10"/>
      <c r="K271" s="10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6"/>
      <c r="C272" s="14"/>
      <c r="D272" s="14"/>
      <c r="E272" s="7"/>
      <c r="F272" s="10"/>
      <c r="G272" s="10"/>
      <c r="H272" s="12"/>
      <c r="I272" s="10"/>
      <c r="J272" s="10"/>
      <c r="K272" s="10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5.75" customHeight="1">
      <c r="A273" s="6"/>
      <c r="C273" s="14"/>
      <c r="D273" s="14"/>
      <c r="E273" s="7"/>
      <c r="F273" s="10"/>
      <c r="G273" s="10"/>
      <c r="H273" s="12"/>
      <c r="I273" s="10"/>
      <c r="J273" s="10"/>
      <c r="K273" s="10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5.75" customHeight="1">
      <c r="A274" s="6"/>
      <c r="C274" s="14"/>
      <c r="D274" s="14"/>
      <c r="E274" s="7"/>
      <c r="F274" s="10"/>
      <c r="G274" s="10"/>
      <c r="H274" s="12"/>
      <c r="I274" s="10"/>
      <c r="J274" s="10"/>
      <c r="K274" s="10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5.75" customHeight="1">
      <c r="A275" s="6"/>
      <c r="C275" s="14"/>
      <c r="D275" s="14"/>
      <c r="E275" s="7"/>
      <c r="F275" s="10"/>
      <c r="G275" s="10"/>
      <c r="H275" s="12"/>
      <c r="I275" s="10"/>
      <c r="J275" s="10"/>
      <c r="K275" s="10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6"/>
      <c r="C276" s="15"/>
      <c r="D276" s="15"/>
    </row>
    <row r="277" ht="15.75" customHeight="1">
      <c r="A277" s="6"/>
      <c r="C277" s="15"/>
      <c r="D277" s="15"/>
    </row>
    <row r="278" ht="15.75" customHeight="1">
      <c r="A278" s="6"/>
      <c r="C278" s="15"/>
      <c r="D278" s="15"/>
    </row>
    <row r="279" ht="15.75" customHeight="1">
      <c r="A279" s="6"/>
      <c r="C279" s="15"/>
      <c r="D279" s="15"/>
    </row>
    <row r="280" ht="15.75" customHeight="1">
      <c r="A280" s="6"/>
      <c r="C280" s="15"/>
      <c r="D280" s="15"/>
    </row>
    <row r="281" ht="15.75" customHeight="1">
      <c r="A281" s="6"/>
      <c r="C281" s="15"/>
      <c r="D281" s="15"/>
    </row>
    <row r="282" ht="15.75" customHeight="1">
      <c r="A282" s="6"/>
      <c r="C282" s="15"/>
      <c r="D282" s="15"/>
    </row>
    <row r="283" ht="15.75" customHeight="1">
      <c r="A283" s="6"/>
      <c r="C283" s="15"/>
      <c r="D283" s="15"/>
    </row>
    <row r="284" ht="15.75" customHeight="1">
      <c r="A284" s="6"/>
      <c r="C284" s="15"/>
      <c r="D284" s="15"/>
    </row>
    <row r="285" ht="15.75" customHeight="1">
      <c r="A285" s="6"/>
      <c r="C285" s="15"/>
      <c r="D285" s="15"/>
    </row>
    <row r="286" ht="15.75" customHeight="1">
      <c r="A286" s="6"/>
      <c r="C286" s="15"/>
      <c r="D286" s="15"/>
    </row>
    <row r="287" ht="15.75" customHeight="1">
      <c r="A287" s="6"/>
      <c r="C287" s="15"/>
      <c r="D287" s="15"/>
    </row>
    <row r="288" ht="15.75" customHeight="1">
      <c r="A288" s="6"/>
      <c r="C288" s="15"/>
      <c r="D288" s="15"/>
    </row>
    <row r="289" ht="15.75" customHeight="1">
      <c r="A289" s="6"/>
      <c r="C289" s="15"/>
      <c r="D289" s="15"/>
    </row>
    <row r="290" ht="15.75" customHeight="1">
      <c r="A290" s="6"/>
      <c r="C290" s="15"/>
      <c r="D290" s="15"/>
    </row>
    <row r="291" ht="15.75" customHeight="1">
      <c r="A291" s="6"/>
      <c r="C291" s="15"/>
      <c r="D291" s="15"/>
    </row>
    <row r="292" ht="15.75" customHeight="1">
      <c r="A292" s="6"/>
      <c r="C292" s="15"/>
      <c r="D292" s="15"/>
    </row>
    <row r="293" ht="15.75" customHeight="1">
      <c r="A293" s="6"/>
      <c r="C293" s="15"/>
      <c r="D293" s="15"/>
    </row>
    <row r="294" ht="15.75" customHeight="1">
      <c r="A294" s="6"/>
      <c r="C294" s="15"/>
      <c r="D294" s="15"/>
    </row>
    <row r="295" ht="15.75" customHeight="1">
      <c r="A295" s="6"/>
      <c r="C295" s="15"/>
      <c r="D295" s="15"/>
    </row>
    <row r="296" ht="15.75" customHeight="1">
      <c r="A296" s="6"/>
      <c r="C296" s="15"/>
      <c r="D296" s="15"/>
    </row>
    <row r="297" ht="15.75" customHeight="1">
      <c r="A297" s="6"/>
      <c r="C297" s="15"/>
      <c r="D297" s="15"/>
    </row>
    <row r="298" ht="15.75" customHeight="1">
      <c r="A298" s="6"/>
      <c r="C298" s="15"/>
      <c r="D298" s="15"/>
    </row>
    <row r="299" ht="15.75" customHeight="1">
      <c r="A299" s="6"/>
      <c r="C299" s="15"/>
      <c r="D299" s="15"/>
    </row>
    <row r="300" ht="15.75" customHeight="1">
      <c r="A300" s="6"/>
      <c r="C300" s="15"/>
      <c r="D300" s="15"/>
    </row>
    <row r="301" ht="15.75" customHeight="1">
      <c r="A301" s="6"/>
      <c r="C301" s="15"/>
      <c r="D301" s="15"/>
    </row>
    <row r="302" ht="15.75" customHeight="1">
      <c r="A302" s="6"/>
      <c r="C302" s="15"/>
      <c r="D302" s="15"/>
    </row>
    <row r="303" ht="15.75" customHeight="1">
      <c r="A303" s="6"/>
      <c r="C303" s="15"/>
      <c r="D303" s="15"/>
    </row>
    <row r="304" ht="15.75" customHeight="1">
      <c r="A304" s="6"/>
      <c r="C304" s="15"/>
      <c r="D304" s="15"/>
    </row>
    <row r="305" ht="15.75" customHeight="1">
      <c r="A305" s="6"/>
      <c r="C305" s="15"/>
      <c r="D305" s="15"/>
    </row>
    <row r="306" ht="15.75" customHeight="1">
      <c r="A306" s="6"/>
      <c r="C306" s="15"/>
      <c r="D306" s="15"/>
    </row>
    <row r="307" ht="15.75" customHeight="1">
      <c r="A307" s="6"/>
      <c r="C307" s="15"/>
      <c r="D307" s="15"/>
    </row>
    <row r="308" ht="15.75" customHeight="1">
      <c r="A308" s="6"/>
      <c r="C308" s="15"/>
      <c r="D308" s="15"/>
    </row>
    <row r="309" ht="15.75" customHeight="1">
      <c r="A309" s="6"/>
      <c r="C309" s="15"/>
      <c r="D309" s="15"/>
    </row>
    <row r="310" ht="15.75" customHeight="1">
      <c r="A310" s="6"/>
      <c r="C310" s="15"/>
      <c r="D310" s="15"/>
    </row>
    <row r="311" ht="15.75" customHeight="1">
      <c r="A311" s="6"/>
      <c r="C311" s="15"/>
      <c r="D311" s="15"/>
    </row>
    <row r="312" ht="15.75" customHeight="1">
      <c r="A312" s="6"/>
      <c r="C312" s="15"/>
      <c r="D312" s="15"/>
    </row>
    <row r="313" ht="15.75" customHeight="1">
      <c r="A313" s="6"/>
      <c r="C313" s="15"/>
      <c r="D313" s="15"/>
    </row>
    <row r="314" ht="15.75" customHeight="1">
      <c r="A314" s="6"/>
      <c r="C314" s="15"/>
      <c r="D314" s="15"/>
    </row>
    <row r="315" ht="15.75" customHeight="1">
      <c r="A315" s="6"/>
      <c r="C315" s="15"/>
      <c r="D315" s="15"/>
    </row>
    <row r="316" ht="15.75" customHeight="1">
      <c r="A316" s="6"/>
      <c r="C316" s="15"/>
      <c r="D316" s="15"/>
    </row>
    <row r="317" ht="15.75" customHeight="1">
      <c r="A317" s="6"/>
      <c r="C317" s="15"/>
      <c r="D317" s="15"/>
    </row>
    <row r="318" ht="15.75" customHeight="1">
      <c r="A318" s="6"/>
      <c r="C318" s="15"/>
      <c r="D318" s="15"/>
    </row>
    <row r="319" ht="15.75" customHeight="1">
      <c r="A319" s="6"/>
      <c r="C319" s="15"/>
      <c r="D319" s="15"/>
    </row>
    <row r="320" ht="15.75" customHeight="1">
      <c r="A320" s="6"/>
      <c r="C320" s="15"/>
      <c r="D320" s="15"/>
    </row>
    <row r="321" ht="15.75" customHeight="1">
      <c r="A321" s="6"/>
      <c r="C321" s="15"/>
      <c r="D321" s="15"/>
    </row>
    <row r="322" ht="15.75" customHeight="1">
      <c r="A322" s="6"/>
      <c r="C322" s="15"/>
      <c r="D322" s="15"/>
    </row>
    <row r="323" ht="15.75" customHeight="1">
      <c r="A323" s="6"/>
      <c r="C323" s="15"/>
      <c r="D323" s="15"/>
    </row>
    <row r="324" ht="15.75" customHeight="1">
      <c r="A324" s="6"/>
      <c r="C324" s="15"/>
      <c r="D324" s="15"/>
    </row>
    <row r="325" ht="15.75" customHeight="1">
      <c r="A325" s="6"/>
      <c r="C325" s="15"/>
      <c r="D325" s="15"/>
    </row>
    <row r="326" ht="15.75" customHeight="1">
      <c r="A326" s="6"/>
      <c r="C326" s="15"/>
      <c r="D326" s="15"/>
    </row>
    <row r="327" ht="15.75" customHeight="1">
      <c r="A327" s="6"/>
      <c r="C327" s="15"/>
      <c r="D327" s="15"/>
    </row>
    <row r="328" ht="15.75" customHeight="1">
      <c r="A328" s="6"/>
      <c r="C328" s="15"/>
      <c r="D328" s="15"/>
    </row>
    <row r="329" ht="15.75" customHeight="1">
      <c r="A329" s="6"/>
      <c r="C329" s="15"/>
      <c r="D329" s="15"/>
    </row>
    <row r="330" ht="15.75" customHeight="1">
      <c r="A330" s="6"/>
      <c r="C330" s="15"/>
      <c r="D330" s="15"/>
    </row>
    <row r="331" ht="15.75" customHeight="1">
      <c r="A331" s="6"/>
      <c r="C331" s="15"/>
      <c r="D331" s="15"/>
    </row>
    <row r="332" ht="15.75" customHeight="1">
      <c r="A332" s="6"/>
      <c r="C332" s="15"/>
      <c r="D332" s="15"/>
    </row>
    <row r="333" ht="15.75" customHeight="1">
      <c r="A333" s="6"/>
      <c r="C333" s="15"/>
      <c r="D333" s="15"/>
    </row>
    <row r="334" ht="15.75" customHeight="1">
      <c r="A334" s="6"/>
      <c r="C334" s="15"/>
      <c r="D334" s="15"/>
    </row>
    <row r="335" ht="15.75" customHeight="1">
      <c r="A335" s="6"/>
      <c r="C335" s="15"/>
      <c r="D335" s="15"/>
    </row>
    <row r="336" ht="15.75" customHeight="1">
      <c r="A336" s="6"/>
      <c r="C336" s="15"/>
      <c r="D336" s="15"/>
    </row>
    <row r="337" ht="15.75" customHeight="1">
      <c r="A337" s="6"/>
      <c r="C337" s="15"/>
      <c r="D337" s="15"/>
    </row>
    <row r="338" ht="15.75" customHeight="1">
      <c r="A338" s="6"/>
      <c r="C338" s="15"/>
      <c r="D338" s="15"/>
    </row>
    <row r="339" ht="15.75" customHeight="1">
      <c r="A339" s="6"/>
      <c r="C339" s="15"/>
      <c r="D339" s="15"/>
    </row>
    <row r="340" ht="15.75" customHeight="1">
      <c r="A340" s="6"/>
      <c r="C340" s="15"/>
      <c r="D340" s="15"/>
    </row>
    <row r="341" ht="15.75" customHeight="1">
      <c r="A341" s="6"/>
      <c r="C341" s="15"/>
      <c r="D341" s="15"/>
    </row>
    <row r="342" ht="15.75" customHeight="1">
      <c r="A342" s="6"/>
      <c r="C342" s="15"/>
      <c r="D342" s="15"/>
    </row>
    <row r="343" ht="15.75" customHeight="1">
      <c r="A343" s="6"/>
      <c r="C343" s="15"/>
      <c r="D343" s="15"/>
    </row>
    <row r="344" ht="15.75" customHeight="1">
      <c r="A344" s="6"/>
      <c r="C344" s="15"/>
      <c r="D344" s="15"/>
    </row>
    <row r="345" ht="15.75" customHeight="1">
      <c r="A345" s="6"/>
      <c r="C345" s="15"/>
      <c r="D345" s="15"/>
    </row>
    <row r="346" ht="15.75" customHeight="1">
      <c r="A346" s="6"/>
      <c r="C346" s="15"/>
      <c r="D346" s="15"/>
    </row>
    <row r="347" ht="15.75" customHeight="1">
      <c r="A347" s="6"/>
      <c r="C347" s="15"/>
      <c r="D347" s="15"/>
    </row>
    <row r="348" ht="15.75" customHeight="1">
      <c r="A348" s="6"/>
      <c r="C348" s="15"/>
      <c r="D348" s="15"/>
    </row>
    <row r="349" ht="15.75" customHeight="1">
      <c r="A349" s="6"/>
      <c r="C349" s="15"/>
      <c r="D349" s="15"/>
    </row>
    <row r="350" ht="15.75" customHeight="1">
      <c r="A350" s="6"/>
      <c r="C350" s="15"/>
      <c r="D350" s="15"/>
    </row>
    <row r="351" ht="15.75" customHeight="1">
      <c r="A351" s="6"/>
      <c r="C351" s="15"/>
      <c r="D351" s="15"/>
    </row>
    <row r="352" ht="15.75" customHeight="1">
      <c r="A352" s="6"/>
      <c r="C352" s="15"/>
      <c r="D352" s="15"/>
    </row>
    <row r="353" ht="15.75" customHeight="1">
      <c r="A353" s="6"/>
      <c r="C353" s="15"/>
      <c r="D353" s="15"/>
    </row>
    <row r="354" ht="15.75" customHeight="1">
      <c r="A354" s="6"/>
      <c r="C354" s="15"/>
      <c r="D354" s="15"/>
    </row>
    <row r="355" ht="15.75" customHeight="1">
      <c r="A355" s="6"/>
      <c r="C355" s="15"/>
      <c r="D355" s="15"/>
    </row>
    <row r="356" ht="15.75" customHeight="1">
      <c r="A356" s="6"/>
      <c r="C356" s="15"/>
      <c r="D356" s="15"/>
    </row>
    <row r="357" ht="15.75" customHeight="1">
      <c r="A357" s="6"/>
      <c r="C357" s="15"/>
      <c r="D357" s="15"/>
    </row>
    <row r="358" ht="15.75" customHeight="1">
      <c r="A358" s="6"/>
      <c r="C358" s="15"/>
      <c r="D358" s="15"/>
    </row>
    <row r="359" ht="15.75" customHeight="1">
      <c r="A359" s="6"/>
      <c r="C359" s="15"/>
      <c r="D359" s="15"/>
    </row>
    <row r="360" ht="15.75" customHeight="1">
      <c r="A360" s="6"/>
      <c r="C360" s="15"/>
      <c r="D360" s="15"/>
    </row>
    <row r="361" ht="15.75" customHeight="1">
      <c r="A361" s="6"/>
      <c r="C361" s="15"/>
      <c r="D361" s="15"/>
    </row>
    <row r="362" ht="15.75" customHeight="1">
      <c r="A362" s="6"/>
      <c r="C362" s="15"/>
      <c r="D362" s="15"/>
    </row>
    <row r="363" ht="15.75" customHeight="1">
      <c r="A363" s="6"/>
      <c r="C363" s="15"/>
      <c r="D363" s="15"/>
    </row>
    <row r="364" ht="15.75" customHeight="1">
      <c r="A364" s="6"/>
      <c r="C364" s="15"/>
      <c r="D364" s="15"/>
    </row>
    <row r="365" ht="15.75" customHeight="1">
      <c r="A365" s="6"/>
      <c r="C365" s="15"/>
      <c r="D365" s="15"/>
    </row>
    <row r="366" ht="15.75" customHeight="1">
      <c r="A366" s="6"/>
      <c r="C366" s="15"/>
      <c r="D366" s="15"/>
    </row>
    <row r="367" ht="15.75" customHeight="1">
      <c r="A367" s="6"/>
      <c r="C367" s="15"/>
      <c r="D367" s="15"/>
    </row>
    <row r="368" ht="15.75" customHeight="1">
      <c r="A368" s="6"/>
      <c r="C368" s="15"/>
      <c r="D368" s="15"/>
    </row>
    <row r="369" ht="15.75" customHeight="1">
      <c r="A369" s="6"/>
      <c r="C369" s="15"/>
      <c r="D369" s="15"/>
    </row>
    <row r="370" ht="15.75" customHeight="1">
      <c r="A370" s="6"/>
      <c r="C370" s="15"/>
      <c r="D370" s="15"/>
    </row>
    <row r="371" ht="15.75" customHeight="1">
      <c r="A371" s="6"/>
      <c r="C371" s="15"/>
      <c r="D371" s="15"/>
    </row>
    <row r="372" ht="15.75" customHeight="1">
      <c r="A372" s="6"/>
      <c r="C372" s="15"/>
      <c r="D372" s="15"/>
    </row>
    <row r="373" ht="15.75" customHeight="1">
      <c r="A373" s="6"/>
      <c r="C373" s="15"/>
      <c r="D373" s="15"/>
    </row>
    <row r="374" ht="15.75" customHeight="1">
      <c r="A374" s="6"/>
      <c r="C374" s="15"/>
      <c r="D374" s="15"/>
    </row>
    <row r="375" ht="15.75" customHeight="1">
      <c r="A375" s="6"/>
      <c r="C375" s="15"/>
      <c r="D375" s="15"/>
    </row>
    <row r="376" ht="15.75" customHeight="1">
      <c r="A376" s="6"/>
      <c r="C376" s="15"/>
      <c r="D376" s="15"/>
    </row>
    <row r="377" ht="15.75" customHeight="1">
      <c r="A377" s="6"/>
      <c r="C377" s="15"/>
      <c r="D377" s="15"/>
    </row>
    <row r="378" ht="15.75" customHeight="1">
      <c r="A378" s="6"/>
      <c r="C378" s="15"/>
      <c r="D378" s="15"/>
    </row>
    <row r="379" ht="15.75" customHeight="1">
      <c r="A379" s="6"/>
      <c r="C379" s="15"/>
      <c r="D379" s="15"/>
    </row>
    <row r="380" ht="15.75" customHeight="1">
      <c r="A380" s="6"/>
      <c r="C380" s="15"/>
      <c r="D380" s="15"/>
    </row>
    <row r="381" ht="15.75" customHeight="1">
      <c r="A381" s="6"/>
      <c r="C381" s="15"/>
      <c r="D381" s="15"/>
    </row>
    <row r="382" ht="15.75" customHeight="1">
      <c r="A382" s="6"/>
      <c r="C382" s="15"/>
      <c r="D382" s="15"/>
    </row>
    <row r="383" ht="15.75" customHeight="1">
      <c r="A383" s="6"/>
      <c r="C383" s="15"/>
      <c r="D383" s="15"/>
    </row>
    <row r="384" ht="15.75" customHeight="1">
      <c r="A384" s="6"/>
      <c r="C384" s="15"/>
      <c r="D384" s="15"/>
    </row>
    <row r="385" ht="15.75" customHeight="1">
      <c r="A385" s="6"/>
      <c r="C385" s="15"/>
      <c r="D385" s="15"/>
    </row>
    <row r="386" ht="15.75" customHeight="1">
      <c r="A386" s="6"/>
      <c r="C386" s="15"/>
      <c r="D386" s="15"/>
    </row>
    <row r="387" ht="15.75" customHeight="1">
      <c r="A387" s="6"/>
      <c r="C387" s="15"/>
      <c r="D387" s="15"/>
    </row>
    <row r="388" ht="15.75" customHeight="1">
      <c r="A388" s="6"/>
      <c r="C388" s="15"/>
      <c r="D388" s="15"/>
    </row>
    <row r="389" ht="15.75" customHeight="1">
      <c r="A389" s="6"/>
      <c r="C389" s="15"/>
      <c r="D389" s="15"/>
    </row>
    <row r="390" ht="15.75" customHeight="1">
      <c r="A390" s="6"/>
      <c r="C390" s="15"/>
      <c r="D390" s="15"/>
    </row>
    <row r="391" ht="15.75" customHeight="1">
      <c r="A391" s="6"/>
      <c r="C391" s="15"/>
      <c r="D391" s="15"/>
    </row>
    <row r="392" ht="15.75" customHeight="1">
      <c r="A392" s="6"/>
      <c r="C392" s="15"/>
      <c r="D392" s="15"/>
    </row>
    <row r="393" ht="15.75" customHeight="1">
      <c r="A393" s="6"/>
      <c r="C393" s="15"/>
      <c r="D393" s="15"/>
    </row>
    <row r="394" ht="15.75" customHeight="1">
      <c r="A394" s="6"/>
      <c r="C394" s="15"/>
      <c r="D394" s="15"/>
    </row>
    <row r="395" ht="15.75" customHeight="1">
      <c r="A395" s="6"/>
      <c r="C395" s="15"/>
      <c r="D395" s="15"/>
    </row>
    <row r="396" ht="15.75" customHeight="1">
      <c r="A396" s="6"/>
      <c r="C396" s="15"/>
      <c r="D396" s="15"/>
    </row>
    <row r="397" ht="15.75" customHeight="1">
      <c r="A397" s="6"/>
      <c r="C397" s="15"/>
      <c r="D397" s="15"/>
    </row>
    <row r="398" ht="15.75" customHeight="1">
      <c r="A398" s="6"/>
      <c r="C398" s="15"/>
      <c r="D398" s="15"/>
    </row>
    <row r="399" ht="15.75" customHeight="1">
      <c r="A399" s="6"/>
      <c r="C399" s="15"/>
      <c r="D399" s="15"/>
    </row>
    <row r="400" ht="15.75" customHeight="1">
      <c r="A400" s="6"/>
      <c r="C400" s="15"/>
      <c r="D400" s="15"/>
    </row>
    <row r="401" ht="15.75" customHeight="1">
      <c r="A401" s="6"/>
      <c r="C401" s="15"/>
      <c r="D401" s="15"/>
    </row>
    <row r="402" ht="15.75" customHeight="1">
      <c r="A402" s="6"/>
      <c r="C402" s="15"/>
      <c r="D402" s="15"/>
    </row>
    <row r="403" ht="15.75" customHeight="1">
      <c r="A403" s="6"/>
      <c r="C403" s="15"/>
      <c r="D403" s="15"/>
    </row>
    <row r="404" ht="15.75" customHeight="1">
      <c r="A404" s="6"/>
      <c r="C404" s="15"/>
      <c r="D404" s="15"/>
    </row>
    <row r="405" ht="15.75" customHeight="1">
      <c r="A405" s="6"/>
      <c r="C405" s="15"/>
      <c r="D405" s="15"/>
    </row>
    <row r="406" ht="15.75" customHeight="1">
      <c r="A406" s="6"/>
      <c r="C406" s="15"/>
      <c r="D406" s="15"/>
    </row>
    <row r="407" ht="15.75" customHeight="1">
      <c r="A407" s="6"/>
      <c r="C407" s="15"/>
      <c r="D407" s="15"/>
    </row>
    <row r="408" ht="15.75" customHeight="1">
      <c r="A408" s="6"/>
      <c r="C408" s="15"/>
      <c r="D408" s="15"/>
    </row>
    <row r="409" ht="15.75" customHeight="1">
      <c r="A409" s="6"/>
      <c r="C409" s="15"/>
      <c r="D409" s="15"/>
    </row>
    <row r="410" ht="15.75" customHeight="1">
      <c r="A410" s="6"/>
      <c r="C410" s="15"/>
      <c r="D410" s="15"/>
    </row>
    <row r="411" ht="15.75" customHeight="1">
      <c r="A411" s="6"/>
      <c r="C411" s="15"/>
      <c r="D411" s="15"/>
    </row>
    <row r="412" ht="15.75" customHeight="1">
      <c r="A412" s="6"/>
      <c r="C412" s="15"/>
      <c r="D412" s="15"/>
    </row>
    <row r="413" ht="15.75" customHeight="1">
      <c r="A413" s="6"/>
      <c r="C413" s="15"/>
      <c r="D413" s="15"/>
    </row>
    <row r="414" ht="15.75" customHeight="1">
      <c r="A414" s="6"/>
      <c r="C414" s="15"/>
      <c r="D414" s="15"/>
    </row>
    <row r="415" ht="15.75" customHeight="1">
      <c r="A415" s="6"/>
      <c r="C415" s="15"/>
      <c r="D415" s="15"/>
    </row>
    <row r="416" ht="15.75" customHeight="1">
      <c r="A416" s="6"/>
      <c r="C416" s="15"/>
      <c r="D416" s="15"/>
    </row>
    <row r="417" ht="15.75" customHeight="1">
      <c r="A417" s="6"/>
      <c r="C417" s="15"/>
      <c r="D417" s="15"/>
    </row>
    <row r="418" ht="15.75" customHeight="1">
      <c r="A418" s="6"/>
      <c r="C418" s="15"/>
      <c r="D418" s="15"/>
    </row>
    <row r="419" ht="15.75" customHeight="1">
      <c r="A419" s="6"/>
      <c r="C419" s="15"/>
      <c r="D419" s="15"/>
    </row>
    <row r="420" ht="15.75" customHeight="1">
      <c r="A420" s="6"/>
      <c r="C420" s="15"/>
      <c r="D420" s="15"/>
    </row>
    <row r="421" ht="15.75" customHeight="1">
      <c r="A421" s="6"/>
      <c r="C421" s="15"/>
      <c r="D421" s="15"/>
    </row>
    <row r="422" ht="15.75" customHeight="1">
      <c r="A422" s="6"/>
      <c r="C422" s="15"/>
      <c r="D422" s="15"/>
    </row>
    <row r="423" ht="15.75" customHeight="1">
      <c r="A423" s="6"/>
      <c r="C423" s="15"/>
      <c r="D423" s="15"/>
    </row>
    <row r="424" ht="15.75" customHeight="1">
      <c r="A424" s="6"/>
      <c r="C424" s="15"/>
      <c r="D424" s="15"/>
    </row>
    <row r="425" ht="15.75" customHeight="1">
      <c r="A425" s="6"/>
      <c r="C425" s="15"/>
      <c r="D425" s="15"/>
    </row>
    <row r="426" ht="15.75" customHeight="1">
      <c r="A426" s="6"/>
      <c r="C426" s="15"/>
      <c r="D426" s="15"/>
    </row>
    <row r="427" ht="15.75" customHeight="1">
      <c r="A427" s="6"/>
      <c r="C427" s="15"/>
      <c r="D427" s="15"/>
    </row>
    <row r="428" ht="15.75" customHeight="1">
      <c r="A428" s="6"/>
      <c r="C428" s="15"/>
      <c r="D428" s="15"/>
    </row>
    <row r="429" ht="15.75" customHeight="1">
      <c r="A429" s="6"/>
      <c r="C429" s="15"/>
      <c r="D429" s="15"/>
    </row>
    <row r="430" ht="15.75" customHeight="1">
      <c r="A430" s="6"/>
      <c r="C430" s="15"/>
      <c r="D430" s="15"/>
    </row>
    <row r="431" ht="15.75" customHeight="1">
      <c r="A431" s="6"/>
      <c r="C431" s="15"/>
      <c r="D431" s="15"/>
    </row>
    <row r="432" ht="15.75" customHeight="1">
      <c r="A432" s="6"/>
      <c r="C432" s="15"/>
      <c r="D432" s="15"/>
    </row>
    <row r="433" ht="15.75" customHeight="1">
      <c r="A433" s="6"/>
      <c r="C433" s="15"/>
      <c r="D433" s="15"/>
    </row>
    <row r="434" ht="15.75" customHeight="1">
      <c r="A434" s="6"/>
      <c r="C434" s="15"/>
      <c r="D434" s="15"/>
    </row>
    <row r="435" ht="15.75" customHeight="1">
      <c r="A435" s="6"/>
      <c r="C435" s="15"/>
      <c r="D435" s="15"/>
    </row>
    <row r="436" ht="15.75" customHeight="1">
      <c r="A436" s="6"/>
      <c r="C436" s="15"/>
      <c r="D436" s="15"/>
    </row>
    <row r="437" ht="15.75" customHeight="1">
      <c r="A437" s="6"/>
      <c r="C437" s="15"/>
      <c r="D437" s="15"/>
    </row>
    <row r="438" ht="15.75" customHeight="1">
      <c r="A438" s="6"/>
      <c r="C438" s="15"/>
      <c r="D438" s="15"/>
    </row>
    <row r="439" ht="15.75" customHeight="1">
      <c r="A439" s="6"/>
      <c r="C439" s="15"/>
      <c r="D439" s="15"/>
    </row>
    <row r="440" ht="15.75" customHeight="1">
      <c r="A440" s="6"/>
      <c r="C440" s="15"/>
      <c r="D440" s="15"/>
    </row>
    <row r="441" ht="15.75" customHeight="1">
      <c r="A441" s="6"/>
      <c r="C441" s="15"/>
      <c r="D441" s="15"/>
    </row>
    <row r="442" ht="15.75" customHeight="1">
      <c r="A442" s="6"/>
      <c r="C442" s="15"/>
      <c r="D442" s="15"/>
    </row>
    <row r="443" ht="15.75" customHeight="1">
      <c r="A443" s="6"/>
      <c r="C443" s="15"/>
      <c r="D443" s="15"/>
    </row>
    <row r="444" ht="15.75" customHeight="1">
      <c r="A444" s="6"/>
      <c r="C444" s="15"/>
      <c r="D444" s="15"/>
    </row>
    <row r="445" ht="15.75" customHeight="1">
      <c r="A445" s="6"/>
      <c r="C445" s="15"/>
      <c r="D445" s="15"/>
    </row>
    <row r="446" ht="15.75" customHeight="1">
      <c r="A446" s="6"/>
      <c r="C446" s="15"/>
      <c r="D446" s="15"/>
    </row>
    <row r="447" ht="15.75" customHeight="1">
      <c r="A447" s="6"/>
      <c r="C447" s="15"/>
      <c r="D447" s="15"/>
    </row>
    <row r="448" ht="15.75" customHeight="1">
      <c r="A448" s="6"/>
      <c r="C448" s="15"/>
      <c r="D448" s="15"/>
    </row>
    <row r="449" ht="15.75" customHeight="1">
      <c r="A449" s="6"/>
      <c r="C449" s="15"/>
      <c r="D449" s="15"/>
    </row>
    <row r="450" ht="15.75" customHeight="1">
      <c r="A450" s="6"/>
      <c r="C450" s="15"/>
      <c r="D450" s="15"/>
    </row>
    <row r="451" ht="15.75" customHeight="1">
      <c r="A451" s="6"/>
      <c r="C451" s="15"/>
      <c r="D451" s="15"/>
    </row>
    <row r="452" ht="15.75" customHeight="1">
      <c r="A452" s="6"/>
      <c r="C452" s="15"/>
      <c r="D452" s="15"/>
    </row>
    <row r="453" ht="15.75" customHeight="1">
      <c r="A453" s="6"/>
      <c r="C453" s="15"/>
      <c r="D453" s="15"/>
    </row>
    <row r="454" ht="15.75" customHeight="1">
      <c r="A454" s="6"/>
      <c r="C454" s="15"/>
      <c r="D454" s="15"/>
    </row>
    <row r="455" ht="15.75" customHeight="1">
      <c r="A455" s="6"/>
      <c r="C455" s="15"/>
      <c r="D455" s="15"/>
    </row>
    <row r="456" ht="15.75" customHeight="1">
      <c r="A456" s="6"/>
      <c r="C456" s="15"/>
      <c r="D456" s="15"/>
    </row>
    <row r="457" ht="15.75" customHeight="1">
      <c r="A457" s="6"/>
      <c r="C457" s="15"/>
      <c r="D457" s="15"/>
    </row>
    <row r="458" ht="15.75" customHeight="1">
      <c r="A458" s="6"/>
      <c r="C458" s="15"/>
      <c r="D458" s="15"/>
    </row>
    <row r="459" ht="15.75" customHeight="1">
      <c r="A459" s="6"/>
      <c r="C459" s="15"/>
      <c r="D459" s="15"/>
    </row>
    <row r="460" ht="15.75" customHeight="1">
      <c r="A460" s="6"/>
      <c r="C460" s="15"/>
      <c r="D460" s="15"/>
    </row>
    <row r="461" ht="15.75" customHeight="1">
      <c r="A461" s="6"/>
      <c r="C461" s="15"/>
      <c r="D461" s="15"/>
    </row>
    <row r="462" ht="15.75" customHeight="1">
      <c r="A462" s="6"/>
      <c r="C462" s="15"/>
      <c r="D462" s="15"/>
    </row>
    <row r="463" ht="15.75" customHeight="1">
      <c r="A463" s="6"/>
      <c r="C463" s="15"/>
      <c r="D463" s="15"/>
    </row>
    <row r="464" ht="15.75" customHeight="1">
      <c r="A464" s="6"/>
      <c r="C464" s="15"/>
      <c r="D464" s="15"/>
    </row>
    <row r="465" ht="15.75" customHeight="1">
      <c r="A465" s="6"/>
      <c r="C465" s="15"/>
      <c r="D465" s="15"/>
    </row>
    <row r="466" ht="15.75" customHeight="1">
      <c r="A466" s="6"/>
      <c r="C466" s="15"/>
      <c r="D466" s="15"/>
    </row>
    <row r="467" ht="15.75" customHeight="1">
      <c r="A467" s="6"/>
      <c r="C467" s="15"/>
      <c r="D467" s="15"/>
    </row>
    <row r="468" ht="15.75" customHeight="1">
      <c r="A468" s="6"/>
      <c r="C468" s="15"/>
      <c r="D468" s="15"/>
    </row>
    <row r="469" ht="15.75" customHeight="1">
      <c r="A469" s="6"/>
      <c r="C469" s="15"/>
      <c r="D469" s="15"/>
    </row>
    <row r="470" ht="15.75" customHeight="1">
      <c r="A470" s="6"/>
      <c r="C470" s="15"/>
      <c r="D470" s="15"/>
    </row>
    <row r="471" ht="15.75" customHeight="1">
      <c r="A471" s="6"/>
      <c r="C471" s="15"/>
      <c r="D471" s="15"/>
    </row>
    <row r="472" ht="15.75" customHeight="1">
      <c r="A472" s="6"/>
      <c r="C472" s="15"/>
      <c r="D472" s="15"/>
    </row>
    <row r="473" ht="15.75" customHeight="1">
      <c r="A473" s="6"/>
      <c r="C473" s="15"/>
      <c r="D473" s="15"/>
    </row>
    <row r="474" ht="15.75" customHeight="1">
      <c r="A474" s="6"/>
      <c r="C474" s="15"/>
      <c r="D474" s="15"/>
    </row>
    <row r="475" ht="15.75" customHeight="1">
      <c r="A475" s="6"/>
      <c r="C475" s="15"/>
      <c r="D475" s="15"/>
    </row>
    <row r="476" ht="15.75" customHeight="1">
      <c r="A476" s="6"/>
      <c r="C476" s="15"/>
      <c r="D476" s="15"/>
    </row>
    <row r="477" ht="15.75" customHeight="1">
      <c r="A477" s="6"/>
      <c r="C477" s="15"/>
      <c r="D477" s="15"/>
    </row>
    <row r="478" ht="15.75" customHeight="1">
      <c r="A478" s="6"/>
      <c r="C478" s="15"/>
      <c r="D478" s="15"/>
    </row>
    <row r="479" ht="15.75" customHeight="1">
      <c r="A479" s="6"/>
      <c r="C479" s="15"/>
      <c r="D479" s="15"/>
    </row>
    <row r="480" ht="15.75" customHeight="1">
      <c r="A480" s="6"/>
      <c r="C480" s="15"/>
      <c r="D480" s="15"/>
    </row>
    <row r="481" ht="15.75" customHeight="1">
      <c r="A481" s="6"/>
      <c r="C481" s="15"/>
      <c r="D481" s="15"/>
    </row>
    <row r="482" ht="15.75" customHeight="1">
      <c r="A482" s="6"/>
      <c r="C482" s="15"/>
      <c r="D482" s="15"/>
    </row>
    <row r="483" ht="15.75" customHeight="1">
      <c r="A483" s="6"/>
      <c r="C483" s="15"/>
      <c r="D483" s="15"/>
    </row>
    <row r="484" ht="15.75" customHeight="1">
      <c r="A484" s="6"/>
      <c r="C484" s="15"/>
      <c r="D484" s="15"/>
    </row>
    <row r="485" ht="15.75" customHeight="1">
      <c r="A485" s="6"/>
      <c r="C485" s="15"/>
      <c r="D485" s="15"/>
    </row>
    <row r="486" ht="15.75" customHeight="1">
      <c r="A486" s="6"/>
      <c r="C486" s="15"/>
      <c r="D486" s="15"/>
    </row>
    <row r="487" ht="15.75" customHeight="1">
      <c r="A487" s="6"/>
      <c r="C487" s="15"/>
      <c r="D487" s="15"/>
    </row>
    <row r="488" ht="15.75" customHeight="1">
      <c r="A488" s="6"/>
      <c r="C488" s="15"/>
      <c r="D488" s="15"/>
    </row>
    <row r="489" ht="15.75" customHeight="1">
      <c r="A489" s="6"/>
      <c r="C489" s="15"/>
      <c r="D489" s="15"/>
    </row>
    <row r="490" ht="15.75" customHeight="1">
      <c r="A490" s="6"/>
      <c r="C490" s="15"/>
      <c r="D490" s="15"/>
    </row>
    <row r="491" ht="15.75" customHeight="1">
      <c r="A491" s="6"/>
      <c r="C491" s="15"/>
      <c r="D491" s="15"/>
    </row>
    <row r="492" ht="15.75" customHeight="1">
      <c r="A492" s="6"/>
      <c r="C492" s="15"/>
      <c r="D492" s="15"/>
    </row>
    <row r="493" ht="15.75" customHeight="1">
      <c r="A493" s="6"/>
      <c r="C493" s="15"/>
      <c r="D493" s="15"/>
    </row>
    <row r="494" ht="15.75" customHeight="1">
      <c r="A494" s="6"/>
      <c r="C494" s="15"/>
      <c r="D494" s="15"/>
    </row>
    <row r="495" ht="15.75" customHeight="1">
      <c r="A495" s="6"/>
      <c r="C495" s="15"/>
      <c r="D495" s="15"/>
    </row>
    <row r="496" ht="15.75" customHeight="1">
      <c r="A496" s="6"/>
      <c r="C496" s="15"/>
      <c r="D496" s="15"/>
    </row>
    <row r="497" ht="15.75" customHeight="1">
      <c r="A497" s="6"/>
      <c r="C497" s="15"/>
      <c r="D497" s="15"/>
    </row>
    <row r="498" ht="15.75" customHeight="1">
      <c r="A498" s="6"/>
      <c r="C498" s="15"/>
      <c r="D498" s="15"/>
    </row>
    <row r="499" ht="15.75" customHeight="1">
      <c r="A499" s="6"/>
      <c r="C499" s="15"/>
      <c r="D499" s="15"/>
    </row>
    <row r="500" ht="15.75" customHeight="1">
      <c r="A500" s="6"/>
      <c r="C500" s="15"/>
      <c r="D500" s="15"/>
    </row>
    <row r="501" ht="15.75" customHeight="1">
      <c r="A501" s="6"/>
      <c r="C501" s="15"/>
      <c r="D501" s="15"/>
    </row>
    <row r="502" ht="15.75" customHeight="1">
      <c r="A502" s="6"/>
      <c r="C502" s="15"/>
      <c r="D502" s="15"/>
    </row>
    <row r="503" ht="15.75" customHeight="1">
      <c r="A503" s="6"/>
      <c r="C503" s="15"/>
      <c r="D503" s="15"/>
    </row>
    <row r="504" ht="15.75" customHeight="1">
      <c r="A504" s="6"/>
      <c r="C504" s="15"/>
      <c r="D504" s="15"/>
    </row>
    <row r="505" ht="15.75" customHeight="1">
      <c r="A505" s="6"/>
      <c r="C505" s="15"/>
      <c r="D505" s="15"/>
    </row>
    <row r="506" ht="15.75" customHeight="1">
      <c r="A506" s="6"/>
      <c r="C506" s="15"/>
      <c r="D506" s="15"/>
    </row>
    <row r="507" ht="15.75" customHeight="1">
      <c r="A507" s="6"/>
      <c r="C507" s="15"/>
      <c r="D507" s="15"/>
    </row>
    <row r="508" ht="15.75" customHeight="1">
      <c r="A508" s="6"/>
      <c r="C508" s="15"/>
      <c r="D508" s="15"/>
    </row>
    <row r="509" ht="15.75" customHeight="1">
      <c r="A509" s="6"/>
      <c r="C509" s="15"/>
      <c r="D509" s="15"/>
    </row>
    <row r="510" ht="15.75" customHeight="1">
      <c r="A510" s="6"/>
      <c r="C510" s="15"/>
      <c r="D510" s="15"/>
    </row>
    <row r="511" ht="15.75" customHeight="1">
      <c r="A511" s="6"/>
      <c r="C511" s="15"/>
      <c r="D511" s="15"/>
    </row>
    <row r="512" ht="15.75" customHeight="1">
      <c r="A512" s="6"/>
      <c r="C512" s="15"/>
      <c r="D512" s="15"/>
    </row>
    <row r="513" ht="15.75" customHeight="1">
      <c r="A513" s="6"/>
      <c r="C513" s="15"/>
      <c r="D513" s="15"/>
    </row>
    <row r="514" ht="15.75" customHeight="1">
      <c r="A514" s="6"/>
      <c r="C514" s="15"/>
      <c r="D514" s="15"/>
    </row>
    <row r="515" ht="15.75" customHeight="1">
      <c r="A515" s="6"/>
      <c r="C515" s="15"/>
      <c r="D515" s="15"/>
    </row>
    <row r="516" ht="15.75" customHeight="1">
      <c r="A516" s="6"/>
      <c r="C516" s="15"/>
      <c r="D516" s="15"/>
    </row>
    <row r="517" ht="15.75" customHeight="1">
      <c r="A517" s="6"/>
      <c r="C517" s="15"/>
      <c r="D517" s="15"/>
    </row>
    <row r="518" ht="15.75" customHeight="1">
      <c r="A518" s="6"/>
      <c r="C518" s="15"/>
      <c r="D518" s="15"/>
    </row>
    <row r="519" ht="15.75" customHeight="1">
      <c r="A519" s="6"/>
      <c r="C519" s="15"/>
      <c r="D519" s="15"/>
    </row>
    <row r="520" ht="15.75" customHeight="1">
      <c r="A520" s="6"/>
      <c r="C520" s="15"/>
      <c r="D520" s="15"/>
    </row>
    <row r="521" ht="15.75" customHeight="1">
      <c r="A521" s="6"/>
      <c r="C521" s="15"/>
      <c r="D521" s="15"/>
    </row>
    <row r="522" ht="15.75" customHeight="1">
      <c r="A522" s="6"/>
      <c r="C522" s="15"/>
      <c r="D522" s="15"/>
    </row>
    <row r="523" ht="15.75" customHeight="1">
      <c r="A523" s="6"/>
      <c r="C523" s="15"/>
      <c r="D523" s="15"/>
    </row>
    <row r="524" ht="15.75" customHeight="1">
      <c r="A524" s="6"/>
      <c r="C524" s="15"/>
      <c r="D524" s="15"/>
    </row>
    <row r="525" ht="15.75" customHeight="1">
      <c r="A525" s="6"/>
      <c r="C525" s="15"/>
      <c r="D525" s="15"/>
    </row>
    <row r="526" ht="15.75" customHeight="1">
      <c r="A526" s="6"/>
      <c r="C526" s="15"/>
      <c r="D526" s="15"/>
    </row>
    <row r="527" ht="15.75" customHeight="1">
      <c r="A527" s="6"/>
      <c r="C527" s="15"/>
      <c r="D527" s="15"/>
    </row>
    <row r="528" ht="15.75" customHeight="1">
      <c r="A528" s="6"/>
      <c r="C528" s="15"/>
      <c r="D528" s="15"/>
    </row>
    <row r="529" ht="15.75" customHeight="1">
      <c r="A529" s="6"/>
      <c r="C529" s="15"/>
      <c r="D529" s="15"/>
    </row>
    <row r="530" ht="15.75" customHeight="1">
      <c r="A530" s="6"/>
      <c r="C530" s="15"/>
      <c r="D530" s="15"/>
    </row>
    <row r="531" ht="15.75" customHeight="1">
      <c r="A531" s="6"/>
      <c r="C531" s="15"/>
      <c r="D531" s="15"/>
    </row>
    <row r="532" ht="15.75" customHeight="1">
      <c r="A532" s="6"/>
      <c r="C532" s="15"/>
      <c r="D532" s="15"/>
    </row>
    <row r="533" ht="15.75" customHeight="1">
      <c r="A533" s="6"/>
      <c r="C533" s="15"/>
      <c r="D533" s="15"/>
    </row>
    <row r="534" ht="15.75" customHeight="1">
      <c r="A534" s="6"/>
      <c r="C534" s="15"/>
      <c r="D534" s="15"/>
    </row>
    <row r="535" ht="15.75" customHeight="1">
      <c r="A535" s="6"/>
      <c r="C535" s="15"/>
      <c r="D535" s="15"/>
    </row>
    <row r="536" ht="15.75" customHeight="1">
      <c r="A536" s="6"/>
      <c r="C536" s="15"/>
      <c r="D536" s="15"/>
    </row>
    <row r="537" ht="15.75" customHeight="1">
      <c r="A537" s="6"/>
      <c r="C537" s="15"/>
      <c r="D537" s="15"/>
    </row>
    <row r="538" ht="15.75" customHeight="1">
      <c r="A538" s="6"/>
      <c r="C538" s="15"/>
      <c r="D538" s="15"/>
    </row>
    <row r="539" ht="15.75" customHeight="1">
      <c r="A539" s="6"/>
      <c r="C539" s="15"/>
      <c r="D539" s="15"/>
    </row>
    <row r="540" ht="15.75" customHeight="1">
      <c r="A540" s="6"/>
      <c r="C540" s="15"/>
      <c r="D540" s="15"/>
    </row>
    <row r="541" ht="15.75" customHeight="1">
      <c r="A541" s="6"/>
      <c r="C541" s="15"/>
      <c r="D541" s="15"/>
    </row>
    <row r="542" ht="15.75" customHeight="1">
      <c r="A542" s="6"/>
      <c r="C542" s="15"/>
      <c r="D542" s="15"/>
    </row>
    <row r="543" ht="15.75" customHeight="1">
      <c r="A543" s="6"/>
      <c r="C543" s="15"/>
      <c r="D543" s="15"/>
    </row>
    <row r="544" ht="15.75" customHeight="1">
      <c r="A544" s="6"/>
      <c r="C544" s="15"/>
      <c r="D544" s="15"/>
    </row>
    <row r="545" ht="15.75" customHeight="1">
      <c r="A545" s="6"/>
      <c r="C545" s="15"/>
      <c r="D545" s="15"/>
    </row>
    <row r="546" ht="15.75" customHeight="1">
      <c r="A546" s="6"/>
      <c r="C546" s="15"/>
      <c r="D546" s="15"/>
    </row>
    <row r="547" ht="15.75" customHeight="1">
      <c r="A547" s="6"/>
      <c r="C547" s="15"/>
      <c r="D547" s="15"/>
    </row>
    <row r="548" ht="15.75" customHeight="1">
      <c r="A548" s="6"/>
      <c r="C548" s="15"/>
      <c r="D548" s="15"/>
    </row>
    <row r="549" ht="15.75" customHeight="1">
      <c r="A549" s="6"/>
      <c r="C549" s="15"/>
      <c r="D549" s="15"/>
    </row>
    <row r="550" ht="15.75" customHeight="1">
      <c r="A550" s="6"/>
      <c r="C550" s="15"/>
      <c r="D550" s="15"/>
    </row>
    <row r="551" ht="15.75" customHeight="1">
      <c r="A551" s="6"/>
      <c r="C551" s="15"/>
      <c r="D551" s="15"/>
    </row>
    <row r="552" ht="15.75" customHeight="1">
      <c r="A552" s="6"/>
      <c r="C552" s="15"/>
      <c r="D552" s="15"/>
    </row>
    <row r="553" ht="15.75" customHeight="1">
      <c r="A553" s="6"/>
      <c r="C553" s="15"/>
      <c r="D553" s="15"/>
    </row>
    <row r="554" ht="15.75" customHeight="1">
      <c r="A554" s="6"/>
      <c r="C554" s="15"/>
      <c r="D554" s="15"/>
    </row>
    <row r="555" ht="15.75" customHeight="1">
      <c r="A555" s="6"/>
      <c r="C555" s="15"/>
      <c r="D555" s="15"/>
    </row>
    <row r="556" ht="15.75" customHeight="1">
      <c r="A556" s="6"/>
      <c r="C556" s="15"/>
      <c r="D556" s="15"/>
    </row>
    <row r="557" ht="15.75" customHeight="1">
      <c r="A557" s="6"/>
      <c r="C557" s="15"/>
      <c r="D557" s="15"/>
    </row>
    <row r="558" ht="15.75" customHeight="1">
      <c r="A558" s="6"/>
      <c r="C558" s="15"/>
      <c r="D558" s="15"/>
    </row>
    <row r="559" ht="15.75" customHeight="1">
      <c r="A559" s="6"/>
      <c r="C559" s="15"/>
      <c r="D559" s="15"/>
    </row>
    <row r="560" ht="15.75" customHeight="1">
      <c r="A560" s="6"/>
      <c r="C560" s="15"/>
      <c r="D560" s="15"/>
    </row>
    <row r="561" ht="15.75" customHeight="1">
      <c r="A561" s="6"/>
      <c r="C561" s="15"/>
      <c r="D561" s="15"/>
    </row>
    <row r="562" ht="15.75" customHeight="1">
      <c r="A562" s="6"/>
      <c r="C562" s="15"/>
      <c r="D562" s="15"/>
    </row>
    <row r="563" ht="15.75" customHeight="1">
      <c r="A563" s="6"/>
      <c r="C563" s="15"/>
      <c r="D563" s="15"/>
    </row>
    <row r="564" ht="15.75" customHeight="1">
      <c r="A564" s="6"/>
      <c r="C564" s="15"/>
      <c r="D564" s="15"/>
    </row>
    <row r="565" ht="15.75" customHeight="1">
      <c r="A565" s="6"/>
      <c r="C565" s="15"/>
      <c r="D565" s="15"/>
    </row>
    <row r="566" ht="15.75" customHeight="1">
      <c r="A566" s="6"/>
      <c r="C566" s="15"/>
      <c r="D566" s="15"/>
    </row>
    <row r="567" ht="15.75" customHeight="1">
      <c r="A567" s="6"/>
      <c r="C567" s="15"/>
      <c r="D567" s="15"/>
    </row>
    <row r="568" ht="15.75" customHeight="1">
      <c r="A568" s="6"/>
      <c r="C568" s="15"/>
      <c r="D568" s="15"/>
    </row>
    <row r="569" ht="15.75" customHeight="1">
      <c r="A569" s="6"/>
      <c r="C569" s="15"/>
      <c r="D569" s="15"/>
    </row>
    <row r="570" ht="15.75" customHeight="1">
      <c r="A570" s="6"/>
      <c r="C570" s="15"/>
      <c r="D570" s="15"/>
    </row>
    <row r="571" ht="15.75" customHeight="1">
      <c r="A571" s="6"/>
      <c r="C571" s="15"/>
      <c r="D571" s="15"/>
    </row>
    <row r="572" ht="15.75" customHeight="1">
      <c r="A572" s="6"/>
      <c r="C572" s="15"/>
      <c r="D572" s="15"/>
    </row>
    <row r="573" ht="15.75" customHeight="1">
      <c r="A573" s="6"/>
      <c r="C573" s="15"/>
      <c r="D573" s="15"/>
    </row>
    <row r="574" ht="15.75" customHeight="1">
      <c r="A574" s="6"/>
      <c r="C574" s="15"/>
      <c r="D574" s="15"/>
    </row>
    <row r="575" ht="15.75" customHeight="1">
      <c r="A575" s="6"/>
      <c r="C575" s="15"/>
      <c r="D575" s="15"/>
    </row>
    <row r="576" ht="15.75" customHeight="1">
      <c r="A576" s="6"/>
      <c r="C576" s="15"/>
      <c r="D576" s="15"/>
    </row>
    <row r="577" ht="15.75" customHeight="1">
      <c r="A577" s="6"/>
      <c r="C577" s="15"/>
      <c r="D577" s="15"/>
    </row>
    <row r="578" ht="15.75" customHeight="1">
      <c r="A578" s="6"/>
      <c r="C578" s="15"/>
      <c r="D578" s="15"/>
    </row>
    <row r="579" ht="15.75" customHeight="1">
      <c r="A579" s="6"/>
      <c r="C579" s="15"/>
      <c r="D579" s="15"/>
    </row>
    <row r="580" ht="15.75" customHeight="1">
      <c r="A580" s="6"/>
      <c r="C580" s="15"/>
      <c r="D580" s="15"/>
    </row>
    <row r="581" ht="15.75" customHeight="1">
      <c r="A581" s="6"/>
      <c r="C581" s="15"/>
      <c r="D581" s="15"/>
    </row>
    <row r="582" ht="15.75" customHeight="1">
      <c r="A582" s="6"/>
      <c r="C582" s="15"/>
      <c r="D582" s="15"/>
    </row>
    <row r="583" ht="15.75" customHeight="1">
      <c r="A583" s="6"/>
      <c r="C583" s="15"/>
      <c r="D583" s="15"/>
    </row>
    <row r="584" ht="15.75" customHeight="1">
      <c r="A584" s="6"/>
      <c r="C584" s="15"/>
      <c r="D584" s="15"/>
    </row>
    <row r="585" ht="15.75" customHeight="1">
      <c r="A585" s="6"/>
      <c r="C585" s="15"/>
      <c r="D585" s="15"/>
    </row>
    <row r="586" ht="15.75" customHeight="1">
      <c r="A586" s="6"/>
      <c r="C586" s="15"/>
      <c r="D586" s="15"/>
    </row>
    <row r="587" ht="15.75" customHeight="1">
      <c r="A587" s="6"/>
      <c r="C587" s="15"/>
      <c r="D587" s="15"/>
    </row>
    <row r="588" ht="15.75" customHeight="1">
      <c r="A588" s="6"/>
      <c r="C588" s="15"/>
      <c r="D588" s="15"/>
    </row>
    <row r="589" ht="15.75" customHeight="1">
      <c r="A589" s="6"/>
      <c r="C589" s="15"/>
      <c r="D589" s="15"/>
    </row>
    <row r="590" ht="15.75" customHeight="1">
      <c r="A590" s="6"/>
      <c r="C590" s="15"/>
      <c r="D590" s="15"/>
    </row>
    <row r="591" ht="15.75" customHeight="1">
      <c r="A591" s="6"/>
      <c r="C591" s="15"/>
      <c r="D591" s="15"/>
    </row>
    <row r="592" ht="15.75" customHeight="1">
      <c r="A592" s="6"/>
      <c r="C592" s="15"/>
      <c r="D592" s="15"/>
    </row>
    <row r="593" ht="15.75" customHeight="1">
      <c r="A593" s="6"/>
      <c r="C593" s="15"/>
      <c r="D593" s="15"/>
    </row>
    <row r="594" ht="15.75" customHeight="1">
      <c r="A594" s="6"/>
      <c r="C594" s="15"/>
      <c r="D594" s="15"/>
    </row>
    <row r="595" ht="15.75" customHeight="1">
      <c r="A595" s="6"/>
      <c r="C595" s="15"/>
      <c r="D595" s="15"/>
    </row>
    <row r="596" ht="15.75" customHeight="1">
      <c r="A596" s="6"/>
      <c r="C596" s="15"/>
      <c r="D596" s="15"/>
    </row>
    <row r="597" ht="15.75" customHeight="1">
      <c r="A597" s="6"/>
      <c r="C597" s="15"/>
      <c r="D597" s="15"/>
    </row>
    <row r="598" ht="15.75" customHeight="1">
      <c r="A598" s="6"/>
      <c r="C598" s="15"/>
      <c r="D598" s="15"/>
    </row>
    <row r="599" ht="15.75" customHeight="1">
      <c r="A599" s="6"/>
      <c r="C599" s="15"/>
      <c r="D599" s="15"/>
    </row>
    <row r="600" ht="15.75" customHeight="1">
      <c r="A600" s="6"/>
      <c r="C600" s="15"/>
      <c r="D600" s="15"/>
    </row>
    <row r="601" ht="15.75" customHeight="1">
      <c r="A601" s="6"/>
      <c r="C601" s="15"/>
      <c r="D601" s="15"/>
    </row>
    <row r="602" ht="15.75" customHeight="1">
      <c r="A602" s="6"/>
      <c r="C602" s="15"/>
      <c r="D602" s="15"/>
    </row>
    <row r="603" ht="15.75" customHeight="1">
      <c r="A603" s="6"/>
      <c r="C603" s="15"/>
      <c r="D603" s="15"/>
    </row>
    <row r="604" ht="15.75" customHeight="1">
      <c r="A604" s="6"/>
      <c r="C604" s="15"/>
      <c r="D604" s="15"/>
    </row>
    <row r="605" ht="15.75" customHeight="1">
      <c r="A605" s="6"/>
      <c r="C605" s="15"/>
      <c r="D605" s="15"/>
    </row>
    <row r="606" ht="15.75" customHeight="1">
      <c r="A606" s="6"/>
      <c r="C606" s="15"/>
      <c r="D606" s="15"/>
    </row>
    <row r="607" ht="15.75" customHeight="1">
      <c r="A607" s="6"/>
      <c r="C607" s="15"/>
      <c r="D607" s="15"/>
    </row>
    <row r="608" ht="15.75" customHeight="1">
      <c r="A608" s="6"/>
      <c r="C608" s="15"/>
      <c r="D608" s="15"/>
    </row>
    <row r="609" ht="15.75" customHeight="1">
      <c r="A609" s="6"/>
      <c r="C609" s="15"/>
      <c r="D609" s="15"/>
    </row>
    <row r="610" ht="15.75" customHeight="1">
      <c r="A610" s="6"/>
      <c r="C610" s="15"/>
      <c r="D610" s="15"/>
    </row>
    <row r="611" ht="15.75" customHeight="1">
      <c r="A611" s="6"/>
      <c r="C611" s="15"/>
      <c r="D611" s="15"/>
    </row>
    <row r="612" ht="15.75" customHeight="1">
      <c r="A612" s="6"/>
      <c r="C612" s="15"/>
      <c r="D612" s="15"/>
    </row>
    <row r="613" ht="15.75" customHeight="1">
      <c r="A613" s="6"/>
      <c r="C613" s="15"/>
      <c r="D613" s="15"/>
    </row>
    <row r="614" ht="15.75" customHeight="1">
      <c r="A614" s="6"/>
      <c r="C614" s="15"/>
      <c r="D614" s="15"/>
    </row>
    <row r="615" ht="15.75" customHeight="1">
      <c r="A615" s="6"/>
      <c r="C615" s="15"/>
      <c r="D615" s="15"/>
    </row>
    <row r="616" ht="15.75" customHeight="1">
      <c r="A616" s="6"/>
      <c r="C616" s="15"/>
      <c r="D616" s="15"/>
    </row>
    <row r="617" ht="15.75" customHeight="1">
      <c r="A617" s="6"/>
      <c r="C617" s="15"/>
      <c r="D617" s="15"/>
    </row>
    <row r="618" ht="15.75" customHeight="1">
      <c r="A618" s="6"/>
      <c r="C618" s="15"/>
      <c r="D618" s="15"/>
    </row>
    <row r="619" ht="15.75" customHeight="1">
      <c r="A619" s="6"/>
      <c r="C619" s="15"/>
      <c r="D619" s="15"/>
    </row>
    <row r="620" ht="15.75" customHeight="1">
      <c r="A620" s="6"/>
      <c r="C620" s="15"/>
      <c r="D620" s="15"/>
    </row>
    <row r="621" ht="15.75" customHeight="1">
      <c r="A621" s="6"/>
      <c r="C621" s="15"/>
      <c r="D621" s="15"/>
    </row>
    <row r="622" ht="15.75" customHeight="1">
      <c r="A622" s="6"/>
      <c r="C622" s="15"/>
      <c r="D622" s="15"/>
    </row>
    <row r="623" ht="15.75" customHeight="1">
      <c r="A623" s="6"/>
      <c r="C623" s="15"/>
      <c r="D623" s="15"/>
    </row>
    <row r="624" ht="15.75" customHeight="1">
      <c r="A624" s="6"/>
      <c r="C624" s="15"/>
      <c r="D624" s="15"/>
    </row>
    <row r="625" ht="15.75" customHeight="1">
      <c r="A625" s="6"/>
      <c r="C625" s="15"/>
      <c r="D625" s="15"/>
    </row>
    <row r="626" ht="15.75" customHeight="1">
      <c r="A626" s="6"/>
      <c r="C626" s="15"/>
      <c r="D626" s="15"/>
    </row>
    <row r="627" ht="15.75" customHeight="1">
      <c r="A627" s="6"/>
      <c r="C627" s="15"/>
      <c r="D627" s="15"/>
    </row>
    <row r="628" ht="15.75" customHeight="1">
      <c r="A628" s="6"/>
      <c r="C628" s="15"/>
      <c r="D628" s="15"/>
    </row>
    <row r="629" ht="15.75" customHeight="1">
      <c r="A629" s="6"/>
      <c r="C629" s="15"/>
      <c r="D629" s="15"/>
    </row>
    <row r="630" ht="15.75" customHeight="1">
      <c r="A630" s="6"/>
      <c r="C630" s="15"/>
      <c r="D630" s="15"/>
    </row>
    <row r="631" ht="15.75" customHeight="1">
      <c r="A631" s="6"/>
      <c r="C631" s="15"/>
      <c r="D631" s="15"/>
    </row>
    <row r="632" ht="15.75" customHeight="1">
      <c r="A632" s="6"/>
      <c r="C632" s="15"/>
      <c r="D632" s="15"/>
    </row>
    <row r="633" ht="15.75" customHeight="1">
      <c r="A633" s="6"/>
      <c r="C633" s="15"/>
      <c r="D633" s="15"/>
    </row>
    <row r="634" ht="15.75" customHeight="1">
      <c r="A634" s="6"/>
      <c r="C634" s="15"/>
      <c r="D634" s="15"/>
    </row>
    <row r="635" ht="15.75" customHeight="1">
      <c r="A635" s="6"/>
      <c r="C635" s="15"/>
      <c r="D635" s="15"/>
    </row>
    <row r="636" ht="15.75" customHeight="1">
      <c r="A636" s="6"/>
      <c r="C636" s="15"/>
      <c r="D636" s="15"/>
    </row>
    <row r="637" ht="15.75" customHeight="1">
      <c r="A637" s="6"/>
      <c r="C637" s="15"/>
      <c r="D637" s="15"/>
    </row>
    <row r="638" ht="15.75" customHeight="1">
      <c r="A638" s="6"/>
      <c r="C638" s="15"/>
      <c r="D638" s="15"/>
    </row>
    <row r="639" ht="15.75" customHeight="1">
      <c r="A639" s="6"/>
      <c r="C639" s="15"/>
      <c r="D639" s="15"/>
    </row>
    <row r="640" ht="15.75" customHeight="1">
      <c r="A640" s="6"/>
      <c r="C640" s="15"/>
      <c r="D640" s="15"/>
    </row>
    <row r="641" ht="15.75" customHeight="1">
      <c r="A641" s="6"/>
      <c r="C641" s="15"/>
      <c r="D641" s="15"/>
    </row>
    <row r="642" ht="15.75" customHeight="1">
      <c r="A642" s="6"/>
      <c r="C642" s="15"/>
      <c r="D642" s="15"/>
    </row>
    <row r="643" ht="15.75" customHeight="1">
      <c r="A643" s="6"/>
      <c r="C643" s="15"/>
      <c r="D643" s="15"/>
    </row>
    <row r="644" ht="15.75" customHeight="1">
      <c r="A644" s="6"/>
      <c r="C644" s="15"/>
      <c r="D644" s="15"/>
    </row>
    <row r="645" ht="15.75" customHeight="1">
      <c r="A645" s="6"/>
      <c r="C645" s="15"/>
      <c r="D645" s="15"/>
    </row>
    <row r="646" ht="15.75" customHeight="1">
      <c r="A646" s="6"/>
      <c r="C646" s="15"/>
      <c r="D646" s="15"/>
    </row>
    <row r="647" ht="15.75" customHeight="1">
      <c r="A647" s="6"/>
      <c r="C647" s="15"/>
      <c r="D647" s="15"/>
    </row>
    <row r="648" ht="15.75" customHeight="1">
      <c r="A648" s="6"/>
      <c r="C648" s="15"/>
      <c r="D648" s="15"/>
    </row>
    <row r="649" ht="15.75" customHeight="1">
      <c r="A649" s="6"/>
      <c r="C649" s="15"/>
      <c r="D649" s="15"/>
    </row>
    <row r="650" ht="15.75" customHeight="1">
      <c r="A650" s="6"/>
      <c r="C650" s="15"/>
      <c r="D650" s="15"/>
    </row>
    <row r="651" ht="15.75" customHeight="1">
      <c r="A651" s="6"/>
      <c r="C651" s="15"/>
      <c r="D651" s="15"/>
    </row>
    <row r="652" ht="15.75" customHeight="1">
      <c r="A652" s="6"/>
      <c r="C652" s="15"/>
      <c r="D652" s="15"/>
    </row>
    <row r="653" ht="15.75" customHeight="1">
      <c r="A653" s="6"/>
      <c r="C653" s="15"/>
      <c r="D653" s="15"/>
    </row>
    <row r="654" ht="15.75" customHeight="1">
      <c r="A654" s="6"/>
      <c r="C654" s="15"/>
      <c r="D654" s="15"/>
    </row>
    <row r="655" ht="15.75" customHeight="1">
      <c r="A655" s="6"/>
      <c r="C655" s="15"/>
      <c r="D655" s="15"/>
    </row>
    <row r="656" ht="15.75" customHeight="1">
      <c r="A656" s="6"/>
      <c r="C656" s="15"/>
      <c r="D656" s="15"/>
    </row>
    <row r="657" ht="15.75" customHeight="1">
      <c r="A657" s="6"/>
      <c r="C657" s="15"/>
      <c r="D657" s="15"/>
    </row>
    <row r="658" ht="15.75" customHeight="1">
      <c r="A658" s="6"/>
      <c r="C658" s="15"/>
      <c r="D658" s="15"/>
    </row>
    <row r="659" ht="15.75" customHeight="1">
      <c r="A659" s="6"/>
      <c r="C659" s="15"/>
      <c r="D659" s="15"/>
    </row>
    <row r="660" ht="15.75" customHeight="1">
      <c r="A660" s="6"/>
      <c r="C660" s="15"/>
      <c r="D660" s="15"/>
    </row>
    <row r="661" ht="15.75" customHeight="1">
      <c r="A661" s="6"/>
      <c r="C661" s="15"/>
      <c r="D661" s="15"/>
    </row>
    <row r="662" ht="15.75" customHeight="1">
      <c r="A662" s="6"/>
      <c r="C662" s="15"/>
      <c r="D662" s="15"/>
    </row>
    <row r="663" ht="15.75" customHeight="1">
      <c r="A663" s="6"/>
      <c r="C663" s="15"/>
      <c r="D663" s="15"/>
    </row>
    <row r="664" ht="15.75" customHeight="1">
      <c r="A664" s="6"/>
      <c r="C664" s="15"/>
      <c r="D664" s="15"/>
    </row>
    <row r="665" ht="15.75" customHeight="1">
      <c r="A665" s="6"/>
      <c r="C665" s="15"/>
      <c r="D665" s="15"/>
    </row>
    <row r="666" ht="15.75" customHeight="1">
      <c r="A666" s="6"/>
      <c r="C666" s="15"/>
      <c r="D666" s="15"/>
    </row>
    <row r="667" ht="15.75" customHeight="1">
      <c r="A667" s="6"/>
      <c r="C667" s="15"/>
      <c r="D667" s="15"/>
    </row>
    <row r="668" ht="15.75" customHeight="1">
      <c r="A668" s="6"/>
      <c r="C668" s="15"/>
      <c r="D668" s="15"/>
    </row>
    <row r="669" ht="15.75" customHeight="1">
      <c r="A669" s="6"/>
      <c r="C669" s="15"/>
      <c r="D669" s="15"/>
    </row>
    <row r="670" ht="15.75" customHeight="1">
      <c r="A670" s="6"/>
      <c r="C670" s="15"/>
      <c r="D670" s="15"/>
    </row>
    <row r="671" ht="15.75" customHeight="1">
      <c r="A671" s="6"/>
      <c r="C671" s="15"/>
      <c r="D671" s="15"/>
    </row>
    <row r="672" ht="15.75" customHeight="1">
      <c r="A672" s="6"/>
      <c r="C672" s="15"/>
      <c r="D672" s="15"/>
    </row>
    <row r="673" ht="15.75" customHeight="1">
      <c r="A673" s="6"/>
      <c r="C673" s="15"/>
      <c r="D673" s="15"/>
    </row>
    <row r="674" ht="15.75" customHeight="1">
      <c r="A674" s="6"/>
      <c r="C674" s="15"/>
      <c r="D674" s="15"/>
    </row>
    <row r="675" ht="15.75" customHeight="1">
      <c r="A675" s="6"/>
      <c r="C675" s="15"/>
      <c r="D675" s="15"/>
    </row>
    <row r="676" ht="15.75" customHeight="1">
      <c r="A676" s="6"/>
      <c r="C676" s="15"/>
      <c r="D676" s="15"/>
    </row>
    <row r="677" ht="15.75" customHeight="1">
      <c r="A677" s="6"/>
      <c r="C677" s="15"/>
      <c r="D677" s="15"/>
    </row>
    <row r="678" ht="15.75" customHeight="1">
      <c r="A678" s="6"/>
      <c r="C678" s="15"/>
      <c r="D678" s="15"/>
    </row>
    <row r="679" ht="15.75" customHeight="1">
      <c r="A679" s="6"/>
      <c r="C679" s="15"/>
      <c r="D679" s="15"/>
    </row>
    <row r="680" ht="15.75" customHeight="1">
      <c r="A680" s="6"/>
      <c r="C680" s="15"/>
      <c r="D680" s="15"/>
    </row>
    <row r="681" ht="15.75" customHeight="1">
      <c r="A681" s="6"/>
      <c r="C681" s="15"/>
      <c r="D681" s="15"/>
    </row>
    <row r="682" ht="15.75" customHeight="1">
      <c r="A682" s="6"/>
      <c r="C682" s="15"/>
      <c r="D682" s="15"/>
    </row>
    <row r="683" ht="15.75" customHeight="1">
      <c r="A683" s="6"/>
      <c r="C683" s="15"/>
      <c r="D683" s="15"/>
    </row>
    <row r="684" ht="15.75" customHeight="1">
      <c r="A684" s="6"/>
      <c r="C684" s="15"/>
      <c r="D684" s="15"/>
    </row>
    <row r="685" ht="15.75" customHeight="1">
      <c r="A685" s="6"/>
      <c r="C685" s="15"/>
      <c r="D685" s="15"/>
    </row>
    <row r="686" ht="15.75" customHeight="1">
      <c r="A686" s="6"/>
      <c r="C686" s="15"/>
      <c r="D686" s="15"/>
    </row>
    <row r="687" ht="15.75" customHeight="1">
      <c r="A687" s="6"/>
      <c r="C687" s="15"/>
      <c r="D687" s="15"/>
    </row>
    <row r="688" ht="15.75" customHeight="1">
      <c r="A688" s="6"/>
      <c r="C688" s="15"/>
      <c r="D688" s="15"/>
    </row>
    <row r="689" ht="15.75" customHeight="1">
      <c r="A689" s="6"/>
      <c r="C689" s="15"/>
      <c r="D689" s="15"/>
    </row>
    <row r="690" ht="15.75" customHeight="1">
      <c r="A690" s="6"/>
      <c r="C690" s="15"/>
      <c r="D690" s="15"/>
    </row>
    <row r="691" ht="15.75" customHeight="1">
      <c r="A691" s="6"/>
      <c r="C691" s="15"/>
      <c r="D691" s="15"/>
    </row>
    <row r="692" ht="15.75" customHeight="1">
      <c r="A692" s="6"/>
      <c r="C692" s="15"/>
      <c r="D692" s="15"/>
    </row>
    <row r="693" ht="15.75" customHeight="1">
      <c r="A693" s="6"/>
      <c r="C693" s="15"/>
      <c r="D693" s="15"/>
    </row>
    <row r="694" ht="15.75" customHeight="1">
      <c r="A694" s="6"/>
      <c r="C694" s="15"/>
      <c r="D694" s="15"/>
    </row>
    <row r="695" ht="15.75" customHeight="1">
      <c r="A695" s="6"/>
      <c r="C695" s="15"/>
      <c r="D695" s="15"/>
    </row>
    <row r="696" ht="15.75" customHeight="1">
      <c r="A696" s="6"/>
      <c r="C696" s="15"/>
      <c r="D696" s="15"/>
    </row>
    <row r="697" ht="15.75" customHeight="1">
      <c r="A697" s="6"/>
      <c r="C697" s="15"/>
      <c r="D697" s="15"/>
    </row>
    <row r="698" ht="15.75" customHeight="1">
      <c r="A698" s="6"/>
      <c r="C698" s="15"/>
      <c r="D698" s="15"/>
    </row>
    <row r="699" ht="15.75" customHeight="1">
      <c r="A699" s="6"/>
      <c r="C699" s="15"/>
      <c r="D699" s="15"/>
    </row>
    <row r="700" ht="15.75" customHeight="1">
      <c r="A700" s="6"/>
      <c r="C700" s="15"/>
      <c r="D700" s="15"/>
    </row>
    <row r="701" ht="15.75" customHeight="1">
      <c r="A701" s="6"/>
      <c r="C701" s="15"/>
      <c r="D701" s="15"/>
    </row>
    <row r="702" ht="15.75" customHeight="1">
      <c r="A702" s="6"/>
      <c r="C702" s="15"/>
      <c r="D702" s="15"/>
    </row>
    <row r="703" ht="15.75" customHeight="1">
      <c r="A703" s="6"/>
      <c r="C703" s="15"/>
      <c r="D703" s="15"/>
    </row>
    <row r="704" ht="15.75" customHeight="1">
      <c r="A704" s="6"/>
      <c r="C704" s="15"/>
      <c r="D704" s="15"/>
    </row>
    <row r="705" ht="15.75" customHeight="1">
      <c r="A705" s="6"/>
      <c r="C705" s="15"/>
      <c r="D705" s="15"/>
    </row>
    <row r="706" ht="15.75" customHeight="1">
      <c r="A706" s="6"/>
      <c r="C706" s="15"/>
      <c r="D706" s="15"/>
    </row>
    <row r="707" ht="15.75" customHeight="1">
      <c r="A707" s="6"/>
      <c r="C707" s="15"/>
      <c r="D707" s="15"/>
    </row>
    <row r="708" ht="15.75" customHeight="1">
      <c r="A708" s="6"/>
      <c r="C708" s="15"/>
      <c r="D708" s="15"/>
    </row>
    <row r="709" ht="15.75" customHeight="1">
      <c r="A709" s="6"/>
      <c r="C709" s="15"/>
      <c r="D709" s="15"/>
    </row>
    <row r="710" ht="15.75" customHeight="1">
      <c r="A710" s="6"/>
      <c r="C710" s="15"/>
      <c r="D710" s="15"/>
    </row>
    <row r="711" ht="15.75" customHeight="1">
      <c r="A711" s="6"/>
      <c r="C711" s="15"/>
      <c r="D711" s="15"/>
    </row>
    <row r="712" ht="15.75" customHeight="1">
      <c r="A712" s="6"/>
      <c r="C712" s="15"/>
      <c r="D712" s="15"/>
    </row>
    <row r="713" ht="15.75" customHeight="1">
      <c r="A713" s="6"/>
      <c r="C713" s="15"/>
      <c r="D713" s="15"/>
    </row>
    <row r="714" ht="15.75" customHeight="1">
      <c r="A714" s="6"/>
      <c r="C714" s="15"/>
      <c r="D714" s="15"/>
    </row>
    <row r="715" ht="15.75" customHeight="1">
      <c r="A715" s="6"/>
      <c r="C715" s="15"/>
      <c r="D715" s="15"/>
    </row>
    <row r="716" ht="15.75" customHeight="1">
      <c r="A716" s="6"/>
      <c r="C716" s="15"/>
      <c r="D716" s="15"/>
    </row>
    <row r="717" ht="15.75" customHeight="1">
      <c r="A717" s="6"/>
      <c r="C717" s="15"/>
      <c r="D717" s="15"/>
    </row>
    <row r="718" ht="15.75" customHeight="1">
      <c r="A718" s="6"/>
      <c r="C718" s="15"/>
      <c r="D718" s="15"/>
    </row>
    <row r="719" ht="15.75" customHeight="1">
      <c r="A719" s="6"/>
      <c r="C719" s="15"/>
      <c r="D719" s="15"/>
    </row>
    <row r="720" ht="15.75" customHeight="1">
      <c r="A720" s="6"/>
      <c r="C720" s="15"/>
      <c r="D720" s="15"/>
    </row>
    <row r="721" ht="15.75" customHeight="1">
      <c r="A721" s="6"/>
      <c r="C721" s="15"/>
      <c r="D721" s="15"/>
    </row>
    <row r="722" ht="15.75" customHeight="1">
      <c r="A722" s="6"/>
      <c r="C722" s="15"/>
      <c r="D722" s="15"/>
    </row>
    <row r="723" ht="15.75" customHeight="1">
      <c r="A723" s="6"/>
      <c r="C723" s="15"/>
      <c r="D723" s="15"/>
    </row>
    <row r="724" ht="15.75" customHeight="1">
      <c r="A724" s="6"/>
      <c r="C724" s="15"/>
      <c r="D724" s="15"/>
    </row>
    <row r="725" ht="15.75" customHeight="1">
      <c r="A725" s="6"/>
      <c r="C725" s="15"/>
      <c r="D725" s="15"/>
    </row>
    <row r="726" ht="15.75" customHeight="1">
      <c r="A726" s="6"/>
      <c r="C726" s="15"/>
      <c r="D726" s="15"/>
    </row>
    <row r="727" ht="15.75" customHeight="1">
      <c r="A727" s="6"/>
      <c r="C727" s="15"/>
      <c r="D727" s="15"/>
    </row>
    <row r="728" ht="15.75" customHeight="1">
      <c r="A728" s="6"/>
      <c r="C728" s="15"/>
      <c r="D728" s="15"/>
    </row>
    <row r="729" ht="15.75" customHeight="1">
      <c r="A729" s="6"/>
      <c r="C729" s="15"/>
      <c r="D729" s="15"/>
    </row>
    <row r="730" ht="15.75" customHeight="1">
      <c r="A730" s="6"/>
      <c r="C730" s="15"/>
      <c r="D730" s="15"/>
    </row>
    <row r="731" ht="15.75" customHeight="1">
      <c r="A731" s="6"/>
      <c r="C731" s="15"/>
      <c r="D731" s="15"/>
    </row>
    <row r="732" ht="15.75" customHeight="1">
      <c r="A732" s="6"/>
      <c r="C732" s="15"/>
      <c r="D732" s="15"/>
    </row>
    <row r="733" ht="15.75" customHeight="1">
      <c r="A733" s="6"/>
      <c r="C733" s="15"/>
      <c r="D733" s="15"/>
    </row>
    <row r="734" ht="15.75" customHeight="1">
      <c r="A734" s="6"/>
      <c r="C734" s="15"/>
      <c r="D734" s="15"/>
    </row>
    <row r="735" ht="15.75" customHeight="1">
      <c r="A735" s="6"/>
      <c r="C735" s="15"/>
      <c r="D735" s="15"/>
    </row>
    <row r="736" ht="15.75" customHeight="1">
      <c r="A736" s="6"/>
      <c r="C736" s="15"/>
      <c r="D736" s="15"/>
    </row>
    <row r="737" ht="15.75" customHeight="1">
      <c r="A737" s="6"/>
      <c r="C737" s="15"/>
      <c r="D737" s="15"/>
    </row>
    <row r="738" ht="15.75" customHeight="1">
      <c r="A738" s="6"/>
      <c r="C738" s="15"/>
      <c r="D738" s="15"/>
    </row>
    <row r="739" ht="15.75" customHeight="1">
      <c r="A739" s="6"/>
      <c r="C739" s="15"/>
      <c r="D739" s="15"/>
    </row>
    <row r="740" ht="15.75" customHeight="1">
      <c r="A740" s="6"/>
      <c r="C740" s="15"/>
      <c r="D740" s="15"/>
    </row>
    <row r="741" ht="15.75" customHeight="1">
      <c r="A741" s="6"/>
      <c r="C741" s="15"/>
      <c r="D741" s="15"/>
    </row>
    <row r="742" ht="15.75" customHeight="1">
      <c r="A742" s="6"/>
      <c r="C742" s="15"/>
      <c r="D742" s="15"/>
    </row>
    <row r="743" ht="15.75" customHeight="1">
      <c r="A743" s="6"/>
      <c r="C743" s="15"/>
      <c r="D743" s="15"/>
    </row>
    <row r="744" ht="15.75" customHeight="1">
      <c r="A744" s="6"/>
      <c r="C744" s="15"/>
      <c r="D744" s="15"/>
    </row>
    <row r="745" ht="15.75" customHeight="1">
      <c r="A745" s="6"/>
      <c r="C745" s="15"/>
      <c r="D745" s="15"/>
    </row>
    <row r="746" ht="15.75" customHeight="1">
      <c r="A746" s="6"/>
      <c r="C746" s="15"/>
      <c r="D746" s="15"/>
    </row>
    <row r="747" ht="15.75" customHeight="1">
      <c r="A747" s="6"/>
      <c r="C747" s="15"/>
      <c r="D747" s="15"/>
    </row>
    <row r="748" ht="15.75" customHeight="1">
      <c r="A748" s="6"/>
      <c r="C748" s="15"/>
      <c r="D748" s="15"/>
    </row>
    <row r="749" ht="15.75" customHeight="1">
      <c r="A749" s="6"/>
      <c r="C749" s="15"/>
      <c r="D749" s="15"/>
    </row>
    <row r="750" ht="15.75" customHeight="1">
      <c r="A750" s="6"/>
      <c r="C750" s="15"/>
      <c r="D750" s="15"/>
    </row>
    <row r="751" ht="15.75" customHeight="1">
      <c r="A751" s="6"/>
      <c r="C751" s="15"/>
      <c r="D751" s="15"/>
    </row>
    <row r="752" ht="15.75" customHeight="1">
      <c r="A752" s="6"/>
      <c r="C752" s="15"/>
      <c r="D752" s="15"/>
    </row>
    <row r="753" ht="15.75" customHeight="1">
      <c r="A753" s="6"/>
      <c r="C753" s="15"/>
      <c r="D753" s="15"/>
    </row>
    <row r="754" ht="15.75" customHeight="1">
      <c r="A754" s="6"/>
      <c r="C754" s="15"/>
      <c r="D754" s="15"/>
    </row>
    <row r="755" ht="15.75" customHeight="1">
      <c r="A755" s="6"/>
      <c r="C755" s="15"/>
      <c r="D755" s="15"/>
    </row>
    <row r="756" ht="15.75" customHeight="1">
      <c r="A756" s="6"/>
      <c r="C756" s="15"/>
      <c r="D756" s="15"/>
    </row>
    <row r="757" ht="15.75" customHeight="1">
      <c r="A757" s="6"/>
      <c r="C757" s="15"/>
      <c r="D757" s="15"/>
    </row>
    <row r="758" ht="15.75" customHeight="1">
      <c r="A758" s="6"/>
      <c r="C758" s="15"/>
      <c r="D758" s="15"/>
    </row>
    <row r="759" ht="15.75" customHeight="1">
      <c r="A759" s="6"/>
      <c r="C759" s="15"/>
      <c r="D759" s="15"/>
    </row>
    <row r="760" ht="15.75" customHeight="1">
      <c r="A760" s="6"/>
      <c r="C760" s="15"/>
      <c r="D760" s="15"/>
    </row>
    <row r="761" ht="15.75" customHeight="1">
      <c r="A761" s="6"/>
      <c r="C761" s="15"/>
      <c r="D761" s="15"/>
    </row>
    <row r="762" ht="15.75" customHeight="1">
      <c r="A762" s="6"/>
      <c r="C762" s="15"/>
      <c r="D762" s="15"/>
    </row>
    <row r="763" ht="15.75" customHeight="1">
      <c r="A763" s="6"/>
      <c r="C763" s="15"/>
      <c r="D763" s="15"/>
    </row>
    <row r="764" ht="15.75" customHeight="1">
      <c r="A764" s="6"/>
      <c r="C764" s="15"/>
      <c r="D764" s="15"/>
    </row>
    <row r="765" ht="15.75" customHeight="1">
      <c r="A765" s="6"/>
      <c r="C765" s="15"/>
      <c r="D765" s="15"/>
    </row>
    <row r="766" ht="15.75" customHeight="1">
      <c r="A766" s="6"/>
      <c r="C766" s="15"/>
      <c r="D766" s="15"/>
    </row>
    <row r="767" ht="15.75" customHeight="1">
      <c r="A767" s="6"/>
      <c r="C767" s="15"/>
      <c r="D767" s="15"/>
    </row>
    <row r="768" ht="15.75" customHeight="1">
      <c r="A768" s="6"/>
      <c r="C768" s="15"/>
      <c r="D768" s="15"/>
    </row>
    <row r="769" ht="15.75" customHeight="1">
      <c r="A769" s="6"/>
      <c r="C769" s="15"/>
      <c r="D769" s="15"/>
    </row>
    <row r="770" ht="15.75" customHeight="1">
      <c r="A770" s="6"/>
      <c r="C770" s="15"/>
      <c r="D770" s="15"/>
    </row>
    <row r="771" ht="15.75" customHeight="1">
      <c r="A771" s="6"/>
      <c r="C771" s="15"/>
      <c r="D771" s="15"/>
    </row>
    <row r="772" ht="15.75" customHeight="1">
      <c r="A772" s="6"/>
      <c r="C772" s="15"/>
      <c r="D772" s="15"/>
    </row>
    <row r="773" ht="15.75" customHeight="1">
      <c r="A773" s="6"/>
      <c r="C773" s="15"/>
      <c r="D773" s="15"/>
    </row>
    <row r="774" ht="15.75" customHeight="1">
      <c r="A774" s="6"/>
      <c r="C774" s="15"/>
      <c r="D774" s="15"/>
    </row>
    <row r="775" ht="15.75" customHeight="1">
      <c r="A775" s="6"/>
      <c r="C775" s="15"/>
      <c r="D775" s="15"/>
    </row>
    <row r="776" ht="15.75" customHeight="1">
      <c r="A776" s="6"/>
      <c r="C776" s="15"/>
      <c r="D776" s="15"/>
    </row>
    <row r="777" ht="15.75" customHeight="1">
      <c r="A777" s="6"/>
      <c r="C777" s="15"/>
      <c r="D777" s="15"/>
    </row>
    <row r="778" ht="15.75" customHeight="1">
      <c r="A778" s="6"/>
      <c r="C778" s="15"/>
      <c r="D778" s="15"/>
    </row>
    <row r="779" ht="15.75" customHeight="1">
      <c r="A779" s="6"/>
      <c r="C779" s="15"/>
      <c r="D779" s="15"/>
    </row>
    <row r="780" ht="15.75" customHeight="1">
      <c r="A780" s="6"/>
      <c r="C780" s="15"/>
      <c r="D780" s="15"/>
    </row>
    <row r="781" ht="15.75" customHeight="1">
      <c r="A781" s="6"/>
      <c r="C781" s="15"/>
      <c r="D781" s="15"/>
    </row>
    <row r="782" ht="15.75" customHeight="1">
      <c r="A782" s="6"/>
      <c r="C782" s="15"/>
      <c r="D782" s="15"/>
    </row>
    <row r="783" ht="15.75" customHeight="1">
      <c r="A783" s="6"/>
      <c r="C783" s="15"/>
      <c r="D783" s="15"/>
    </row>
    <row r="784" ht="15.75" customHeight="1">
      <c r="A784" s="6"/>
      <c r="C784" s="15"/>
      <c r="D784" s="15"/>
    </row>
    <row r="785" ht="15.75" customHeight="1">
      <c r="A785" s="6"/>
      <c r="C785" s="15"/>
      <c r="D785" s="15"/>
    </row>
    <row r="786" ht="15.75" customHeight="1">
      <c r="A786" s="6"/>
      <c r="C786" s="15"/>
      <c r="D786" s="15"/>
    </row>
    <row r="787" ht="15.75" customHeight="1">
      <c r="A787" s="6"/>
      <c r="C787" s="15"/>
      <c r="D787" s="15"/>
    </row>
    <row r="788" ht="15.75" customHeight="1">
      <c r="A788" s="6"/>
      <c r="C788" s="15"/>
      <c r="D788" s="15"/>
    </row>
    <row r="789" ht="15.75" customHeight="1">
      <c r="A789" s="6"/>
      <c r="C789" s="15"/>
      <c r="D789" s="15"/>
    </row>
    <row r="790" ht="15.75" customHeight="1">
      <c r="A790" s="6"/>
      <c r="C790" s="15"/>
      <c r="D790" s="15"/>
    </row>
    <row r="791" ht="15.75" customHeight="1">
      <c r="A791" s="6"/>
      <c r="C791" s="15"/>
      <c r="D791" s="15"/>
    </row>
    <row r="792" ht="15.75" customHeight="1">
      <c r="A792" s="6"/>
      <c r="C792" s="15"/>
      <c r="D792" s="15"/>
    </row>
    <row r="793" ht="15.75" customHeight="1">
      <c r="A793" s="6"/>
      <c r="C793" s="15"/>
      <c r="D793" s="15"/>
    </row>
    <row r="794" ht="15.75" customHeight="1">
      <c r="A794" s="6"/>
      <c r="C794" s="15"/>
      <c r="D794" s="15"/>
    </row>
    <row r="795" ht="15.75" customHeight="1">
      <c r="A795" s="6"/>
      <c r="C795" s="15"/>
      <c r="D795" s="15"/>
    </row>
    <row r="796" ht="15.75" customHeight="1">
      <c r="A796" s="6"/>
      <c r="C796" s="15"/>
      <c r="D796" s="15"/>
    </row>
    <row r="797" ht="15.75" customHeight="1">
      <c r="A797" s="6"/>
      <c r="C797" s="15"/>
      <c r="D797" s="15"/>
    </row>
    <row r="798" ht="15.75" customHeight="1">
      <c r="A798" s="6"/>
      <c r="C798" s="15"/>
      <c r="D798" s="15"/>
    </row>
    <row r="799" ht="15.75" customHeight="1">
      <c r="A799" s="6"/>
      <c r="C799" s="15"/>
      <c r="D799" s="15"/>
    </row>
    <row r="800" ht="15.75" customHeight="1">
      <c r="A800" s="6"/>
      <c r="C800" s="15"/>
      <c r="D800" s="15"/>
    </row>
    <row r="801" ht="15.75" customHeight="1">
      <c r="A801" s="6"/>
      <c r="C801" s="15"/>
      <c r="D801" s="15"/>
    </row>
    <row r="802" ht="15.75" customHeight="1">
      <c r="A802" s="6"/>
      <c r="C802" s="15"/>
      <c r="D802" s="15"/>
    </row>
    <row r="803" ht="15.75" customHeight="1">
      <c r="A803" s="6"/>
      <c r="C803" s="15"/>
      <c r="D803" s="15"/>
    </row>
    <row r="804" ht="15.75" customHeight="1">
      <c r="A804" s="6"/>
      <c r="C804" s="15"/>
      <c r="D804" s="15"/>
    </row>
    <row r="805" ht="15.75" customHeight="1">
      <c r="A805" s="6"/>
      <c r="C805" s="15"/>
      <c r="D805" s="15"/>
    </row>
    <row r="806" ht="15.75" customHeight="1">
      <c r="A806" s="6"/>
      <c r="C806" s="15"/>
      <c r="D806" s="15"/>
    </row>
    <row r="807" ht="15.75" customHeight="1">
      <c r="A807" s="6"/>
      <c r="C807" s="15"/>
      <c r="D807" s="15"/>
    </row>
    <row r="808" ht="15.75" customHeight="1">
      <c r="A808" s="6"/>
      <c r="C808" s="15"/>
      <c r="D808" s="15"/>
    </row>
    <row r="809" ht="15.75" customHeight="1">
      <c r="A809" s="6"/>
      <c r="C809" s="15"/>
      <c r="D809" s="15"/>
    </row>
    <row r="810" ht="15.75" customHeight="1">
      <c r="A810" s="6"/>
      <c r="C810" s="15"/>
      <c r="D810" s="15"/>
    </row>
    <row r="811" ht="15.75" customHeight="1">
      <c r="A811" s="6"/>
      <c r="C811" s="15"/>
      <c r="D811" s="15"/>
    </row>
    <row r="812" ht="15.75" customHeight="1">
      <c r="A812" s="6"/>
      <c r="C812" s="15"/>
      <c r="D812" s="15"/>
    </row>
    <row r="813" ht="15.75" customHeight="1">
      <c r="A813" s="6"/>
      <c r="C813" s="15"/>
      <c r="D813" s="15"/>
    </row>
    <row r="814" ht="15.75" customHeight="1">
      <c r="A814" s="6"/>
      <c r="C814" s="15"/>
      <c r="D814" s="15"/>
    </row>
    <row r="815" ht="15.75" customHeight="1">
      <c r="A815" s="6"/>
      <c r="C815" s="15"/>
      <c r="D815" s="15"/>
    </row>
    <row r="816" ht="15.75" customHeight="1">
      <c r="A816" s="6"/>
      <c r="C816" s="15"/>
      <c r="D816" s="15"/>
    </row>
    <row r="817" ht="15.75" customHeight="1">
      <c r="A817" s="6"/>
      <c r="C817" s="15"/>
      <c r="D817" s="15"/>
    </row>
    <row r="818" ht="15.75" customHeight="1">
      <c r="A818" s="6"/>
      <c r="C818" s="15"/>
      <c r="D818" s="15"/>
    </row>
    <row r="819" ht="15.75" customHeight="1">
      <c r="A819" s="6"/>
      <c r="C819" s="15"/>
      <c r="D819" s="15"/>
    </row>
    <row r="820" ht="15.75" customHeight="1">
      <c r="A820" s="6"/>
      <c r="C820" s="15"/>
      <c r="D820" s="15"/>
    </row>
    <row r="821" ht="15.75" customHeight="1">
      <c r="A821" s="6"/>
      <c r="C821" s="15"/>
      <c r="D821" s="15"/>
    </row>
    <row r="822" ht="15.75" customHeight="1">
      <c r="A822" s="6"/>
      <c r="C822" s="15"/>
      <c r="D822" s="15"/>
    </row>
    <row r="823" ht="15.75" customHeight="1">
      <c r="A823" s="6"/>
      <c r="C823" s="15"/>
      <c r="D823" s="15"/>
    </row>
    <row r="824" ht="15.75" customHeight="1">
      <c r="A824" s="6"/>
      <c r="C824" s="15"/>
      <c r="D824" s="15"/>
    </row>
    <row r="825" ht="15.75" customHeight="1">
      <c r="A825" s="6"/>
      <c r="C825" s="15"/>
      <c r="D825" s="15"/>
    </row>
    <row r="826" ht="15.75" customHeight="1">
      <c r="A826" s="6"/>
      <c r="C826" s="15"/>
      <c r="D826" s="15"/>
    </row>
    <row r="827" ht="15.75" customHeight="1">
      <c r="A827" s="6"/>
      <c r="C827" s="15"/>
      <c r="D827" s="15"/>
    </row>
    <row r="828" ht="15.75" customHeight="1">
      <c r="A828" s="6"/>
      <c r="C828" s="15"/>
      <c r="D828" s="15"/>
    </row>
    <row r="829" ht="15.75" customHeight="1">
      <c r="A829" s="6"/>
      <c r="C829" s="15"/>
      <c r="D829" s="15"/>
    </row>
    <row r="830" ht="15.75" customHeight="1">
      <c r="A830" s="6"/>
      <c r="C830" s="15"/>
      <c r="D830" s="15"/>
    </row>
    <row r="831" ht="15.75" customHeight="1">
      <c r="A831" s="6"/>
      <c r="C831" s="15"/>
      <c r="D831" s="15"/>
    </row>
    <row r="832" ht="15.75" customHeight="1">
      <c r="A832" s="6"/>
      <c r="C832" s="15"/>
      <c r="D832" s="15"/>
    </row>
    <row r="833" ht="15.75" customHeight="1">
      <c r="A833" s="6"/>
      <c r="C833" s="15"/>
      <c r="D833" s="15"/>
    </row>
    <row r="834" ht="15.75" customHeight="1">
      <c r="A834" s="6"/>
      <c r="C834" s="15"/>
      <c r="D834" s="15"/>
    </row>
    <row r="835" ht="15.75" customHeight="1">
      <c r="A835" s="6"/>
      <c r="C835" s="15"/>
      <c r="D835" s="15"/>
    </row>
    <row r="836" ht="15.75" customHeight="1">
      <c r="A836" s="6"/>
      <c r="C836" s="15"/>
      <c r="D836" s="15"/>
    </row>
    <row r="837" ht="15.75" customHeight="1">
      <c r="A837" s="6"/>
      <c r="C837" s="15"/>
      <c r="D837" s="15"/>
    </row>
    <row r="838" ht="15.75" customHeight="1">
      <c r="A838" s="6"/>
      <c r="C838" s="15"/>
      <c r="D838" s="15"/>
    </row>
    <row r="839" ht="15.75" customHeight="1">
      <c r="A839" s="6"/>
      <c r="C839" s="15"/>
      <c r="D839" s="15"/>
    </row>
    <row r="840" ht="15.75" customHeight="1">
      <c r="A840" s="6"/>
      <c r="C840" s="15"/>
      <c r="D840" s="15"/>
    </row>
    <row r="841" ht="15.75" customHeight="1">
      <c r="A841" s="6"/>
      <c r="C841" s="15"/>
      <c r="D841" s="15"/>
    </row>
    <row r="842" ht="15.75" customHeight="1">
      <c r="A842" s="6"/>
      <c r="C842" s="15"/>
      <c r="D842" s="15"/>
    </row>
    <row r="843" ht="15.75" customHeight="1">
      <c r="A843" s="6"/>
      <c r="C843" s="15"/>
      <c r="D843" s="15"/>
    </row>
    <row r="844" ht="15.75" customHeight="1">
      <c r="A844" s="6"/>
      <c r="C844" s="15"/>
      <c r="D844" s="15"/>
    </row>
    <row r="845" ht="15.75" customHeight="1">
      <c r="A845" s="6"/>
      <c r="C845" s="15"/>
      <c r="D845" s="15"/>
    </row>
    <row r="846" ht="15.75" customHeight="1">
      <c r="A846" s="6"/>
      <c r="C846" s="15"/>
      <c r="D846" s="15"/>
    </row>
    <row r="847" ht="15.75" customHeight="1">
      <c r="A847" s="6"/>
      <c r="C847" s="15"/>
      <c r="D847" s="15"/>
    </row>
    <row r="848" ht="15.75" customHeight="1">
      <c r="A848" s="6"/>
      <c r="C848" s="15"/>
      <c r="D848" s="15"/>
    </row>
    <row r="849" ht="15.75" customHeight="1">
      <c r="A849" s="6"/>
      <c r="C849" s="15"/>
      <c r="D849" s="15"/>
    </row>
    <row r="850" ht="15.75" customHeight="1">
      <c r="A850" s="6"/>
      <c r="C850" s="15"/>
      <c r="D850" s="15"/>
    </row>
    <row r="851" ht="15.75" customHeight="1">
      <c r="A851" s="6"/>
      <c r="C851" s="15"/>
      <c r="D851" s="15"/>
    </row>
    <row r="852" ht="15.75" customHeight="1">
      <c r="A852" s="6"/>
      <c r="C852" s="15"/>
      <c r="D852" s="15"/>
    </row>
    <row r="853" ht="15.75" customHeight="1">
      <c r="A853" s="6"/>
      <c r="C853" s="15"/>
      <c r="D853" s="15"/>
    </row>
    <row r="854" ht="15.75" customHeight="1">
      <c r="A854" s="6"/>
      <c r="C854" s="15"/>
      <c r="D854" s="15"/>
    </row>
    <row r="855" ht="15.75" customHeight="1">
      <c r="A855" s="6"/>
      <c r="C855" s="15"/>
      <c r="D855" s="15"/>
    </row>
    <row r="856" ht="15.75" customHeight="1">
      <c r="A856" s="6"/>
      <c r="C856" s="15"/>
      <c r="D856" s="15"/>
    </row>
    <row r="857" ht="15.75" customHeight="1">
      <c r="A857" s="6"/>
      <c r="C857" s="15"/>
      <c r="D857" s="15"/>
    </row>
    <row r="858" ht="15.75" customHeight="1">
      <c r="A858" s="6"/>
      <c r="C858" s="15"/>
      <c r="D858" s="15"/>
    </row>
    <row r="859" ht="15.75" customHeight="1">
      <c r="A859" s="6"/>
      <c r="C859" s="15"/>
      <c r="D859" s="15"/>
    </row>
    <row r="860" ht="15.75" customHeight="1">
      <c r="A860" s="6"/>
      <c r="C860" s="15"/>
      <c r="D860" s="15"/>
    </row>
    <row r="861" ht="15.75" customHeight="1">
      <c r="A861" s="6"/>
      <c r="C861" s="15"/>
      <c r="D861" s="15"/>
    </row>
    <row r="862" ht="15.75" customHeight="1">
      <c r="A862" s="6"/>
      <c r="C862" s="15"/>
      <c r="D862" s="15"/>
    </row>
    <row r="863" ht="15.75" customHeight="1">
      <c r="A863" s="6"/>
      <c r="C863" s="15"/>
      <c r="D863" s="15"/>
    </row>
    <row r="864" ht="15.75" customHeight="1">
      <c r="A864" s="6"/>
      <c r="C864" s="15"/>
      <c r="D864" s="15"/>
    </row>
    <row r="865" ht="15.75" customHeight="1">
      <c r="A865" s="6"/>
      <c r="C865" s="15"/>
      <c r="D865" s="15"/>
    </row>
    <row r="866" ht="15.75" customHeight="1">
      <c r="A866" s="6"/>
      <c r="C866" s="15"/>
      <c r="D866" s="15"/>
    </row>
    <row r="867" ht="15.75" customHeight="1">
      <c r="A867" s="6"/>
      <c r="C867" s="15"/>
      <c r="D867" s="15"/>
    </row>
    <row r="868" ht="15.75" customHeight="1">
      <c r="A868" s="6"/>
      <c r="C868" s="15"/>
      <c r="D868" s="15"/>
    </row>
    <row r="869" ht="15.75" customHeight="1">
      <c r="A869" s="6"/>
      <c r="C869" s="15"/>
      <c r="D869" s="15"/>
    </row>
    <row r="870" ht="15.75" customHeight="1">
      <c r="A870" s="6"/>
      <c r="C870" s="15"/>
      <c r="D870" s="15"/>
    </row>
    <row r="871" ht="15.75" customHeight="1">
      <c r="A871" s="6"/>
      <c r="C871" s="15"/>
      <c r="D871" s="15"/>
    </row>
    <row r="872" ht="15.75" customHeight="1">
      <c r="A872" s="6"/>
      <c r="C872" s="15"/>
      <c r="D872" s="15"/>
    </row>
    <row r="873" ht="15.75" customHeight="1">
      <c r="A873" s="6"/>
      <c r="C873" s="15"/>
      <c r="D873" s="15"/>
    </row>
    <row r="874" ht="15.75" customHeight="1">
      <c r="A874" s="6"/>
      <c r="C874" s="15"/>
      <c r="D874" s="15"/>
    </row>
    <row r="875" ht="15.75" customHeight="1">
      <c r="A875" s="6"/>
      <c r="C875" s="15"/>
      <c r="D875" s="15"/>
    </row>
    <row r="876" ht="15.75" customHeight="1">
      <c r="A876" s="6"/>
      <c r="C876" s="15"/>
      <c r="D876" s="15"/>
    </row>
    <row r="877" ht="15.75" customHeight="1">
      <c r="A877" s="6"/>
      <c r="C877" s="15"/>
      <c r="D877" s="15"/>
    </row>
    <row r="878" ht="15.75" customHeight="1">
      <c r="A878" s="6"/>
      <c r="C878" s="15"/>
      <c r="D878" s="15"/>
    </row>
    <row r="879" ht="15.75" customHeight="1">
      <c r="A879" s="6"/>
      <c r="C879" s="15"/>
      <c r="D879" s="15"/>
    </row>
    <row r="880" ht="15.75" customHeight="1">
      <c r="A880" s="6"/>
      <c r="C880" s="15"/>
      <c r="D880" s="15"/>
    </row>
    <row r="881" ht="15.75" customHeight="1">
      <c r="A881" s="6"/>
      <c r="C881" s="15"/>
      <c r="D881" s="15"/>
    </row>
    <row r="882" ht="15.75" customHeight="1">
      <c r="A882" s="6"/>
      <c r="C882" s="15"/>
      <c r="D882" s="15"/>
    </row>
    <row r="883" ht="15.75" customHeight="1">
      <c r="A883" s="6"/>
      <c r="C883" s="15"/>
      <c r="D883" s="15"/>
    </row>
    <row r="884" ht="15.75" customHeight="1">
      <c r="A884" s="6"/>
      <c r="C884" s="15"/>
      <c r="D884" s="15"/>
    </row>
    <row r="885" ht="15.75" customHeight="1">
      <c r="A885" s="6"/>
      <c r="C885" s="15"/>
      <c r="D885" s="15"/>
    </row>
    <row r="886" ht="15.75" customHeight="1">
      <c r="A886" s="6"/>
      <c r="C886" s="15"/>
      <c r="D886" s="15"/>
    </row>
    <row r="887" ht="15.75" customHeight="1">
      <c r="A887" s="6"/>
      <c r="C887" s="15"/>
      <c r="D887" s="15"/>
    </row>
    <row r="888" ht="15.75" customHeight="1">
      <c r="A888" s="6"/>
      <c r="C888" s="15"/>
      <c r="D888" s="15"/>
    </row>
    <row r="889" ht="15.75" customHeight="1">
      <c r="A889" s="6"/>
      <c r="C889" s="15"/>
      <c r="D889" s="15"/>
    </row>
    <row r="890" ht="15.75" customHeight="1">
      <c r="A890" s="6"/>
      <c r="C890" s="15"/>
      <c r="D890" s="15"/>
    </row>
    <row r="891" ht="15.75" customHeight="1">
      <c r="A891" s="6"/>
      <c r="C891" s="15"/>
      <c r="D891" s="15"/>
    </row>
    <row r="892" ht="15.75" customHeight="1">
      <c r="A892" s="6"/>
      <c r="C892" s="15"/>
      <c r="D892" s="15"/>
    </row>
    <row r="893" ht="15.75" customHeight="1">
      <c r="A893" s="6"/>
      <c r="C893" s="15"/>
      <c r="D893" s="15"/>
    </row>
    <row r="894" ht="15.75" customHeight="1">
      <c r="A894" s="6"/>
      <c r="C894" s="15"/>
      <c r="D894" s="15"/>
    </row>
    <row r="895" ht="15.75" customHeight="1">
      <c r="A895" s="6"/>
      <c r="C895" s="15"/>
      <c r="D895" s="15"/>
    </row>
    <row r="896" ht="15.75" customHeight="1">
      <c r="A896" s="6"/>
      <c r="C896" s="15"/>
      <c r="D896" s="15"/>
    </row>
    <row r="897" ht="15.75" customHeight="1">
      <c r="A897" s="6"/>
      <c r="C897" s="15"/>
      <c r="D897" s="15"/>
    </row>
    <row r="898" ht="15.75" customHeight="1">
      <c r="A898" s="6"/>
      <c r="C898" s="15"/>
      <c r="D898" s="15"/>
    </row>
    <row r="899" ht="15.75" customHeight="1">
      <c r="A899" s="6"/>
      <c r="C899" s="15"/>
      <c r="D899" s="15"/>
    </row>
    <row r="900" ht="15.75" customHeight="1">
      <c r="A900" s="6"/>
      <c r="C900" s="15"/>
      <c r="D900" s="15"/>
    </row>
    <row r="901" ht="15.75" customHeight="1">
      <c r="A901" s="6"/>
      <c r="C901" s="15"/>
      <c r="D901" s="15"/>
    </row>
    <row r="902" ht="15.75" customHeight="1">
      <c r="A902" s="6"/>
      <c r="C902" s="15"/>
      <c r="D902" s="15"/>
    </row>
    <row r="903" ht="15.75" customHeight="1">
      <c r="A903" s="6"/>
      <c r="C903" s="15"/>
      <c r="D903" s="15"/>
    </row>
    <row r="904" ht="15.75" customHeight="1">
      <c r="A904" s="6"/>
      <c r="C904" s="15"/>
      <c r="D904" s="15"/>
    </row>
    <row r="905" ht="15.75" customHeight="1">
      <c r="A905" s="6"/>
      <c r="C905" s="15"/>
      <c r="D905" s="15"/>
    </row>
    <row r="906" ht="15.75" customHeight="1">
      <c r="A906" s="6"/>
      <c r="C906" s="15"/>
      <c r="D906" s="15"/>
    </row>
    <row r="907" ht="15.75" customHeight="1">
      <c r="A907" s="6"/>
      <c r="C907" s="15"/>
      <c r="D907" s="15"/>
    </row>
    <row r="908" ht="15.75" customHeight="1">
      <c r="A908" s="6"/>
      <c r="C908" s="15"/>
      <c r="D908" s="15"/>
    </row>
    <row r="909" ht="15.75" customHeight="1">
      <c r="A909" s="6"/>
      <c r="C909" s="15"/>
      <c r="D909" s="15"/>
    </row>
    <row r="910" ht="15.75" customHeight="1">
      <c r="A910" s="6"/>
      <c r="C910" s="15"/>
      <c r="D910" s="15"/>
    </row>
    <row r="911" ht="15.75" customHeight="1">
      <c r="A911" s="6"/>
      <c r="C911" s="15"/>
      <c r="D911" s="15"/>
    </row>
    <row r="912" ht="15.75" customHeight="1">
      <c r="A912" s="6"/>
      <c r="C912" s="15"/>
      <c r="D912" s="15"/>
    </row>
    <row r="913" ht="15.75" customHeight="1">
      <c r="A913" s="6"/>
      <c r="C913" s="15"/>
      <c r="D913" s="15"/>
    </row>
    <row r="914" ht="15.75" customHeight="1">
      <c r="A914" s="6"/>
      <c r="C914" s="15"/>
      <c r="D914" s="15"/>
    </row>
    <row r="915" ht="15.75" customHeight="1">
      <c r="A915" s="6"/>
      <c r="C915" s="15"/>
      <c r="D915" s="15"/>
    </row>
    <row r="916" ht="15.75" customHeight="1">
      <c r="A916" s="6"/>
      <c r="C916" s="15"/>
      <c r="D916" s="15"/>
    </row>
    <row r="917" ht="15.75" customHeight="1">
      <c r="A917" s="6"/>
      <c r="C917" s="15"/>
      <c r="D917" s="15"/>
    </row>
    <row r="918" ht="15.75" customHeight="1">
      <c r="A918" s="6"/>
      <c r="C918" s="15"/>
      <c r="D918" s="15"/>
    </row>
    <row r="919" ht="15.75" customHeight="1">
      <c r="A919" s="6"/>
      <c r="C919" s="15"/>
      <c r="D919" s="15"/>
    </row>
    <row r="920" ht="15.75" customHeight="1">
      <c r="A920" s="6"/>
      <c r="C920" s="15"/>
      <c r="D920" s="15"/>
    </row>
    <row r="921" ht="15.75" customHeight="1">
      <c r="A921" s="6"/>
      <c r="C921" s="15"/>
      <c r="D921" s="15"/>
    </row>
    <row r="922" ht="15.75" customHeight="1">
      <c r="A922" s="6"/>
      <c r="C922" s="15"/>
      <c r="D922" s="15"/>
    </row>
    <row r="923" ht="15.75" customHeight="1">
      <c r="A923" s="6"/>
      <c r="C923" s="15"/>
      <c r="D923" s="15"/>
    </row>
    <row r="924" ht="15.75" customHeight="1">
      <c r="A924" s="6"/>
      <c r="C924" s="15"/>
      <c r="D924" s="15"/>
    </row>
    <row r="925" ht="15.75" customHeight="1">
      <c r="A925" s="6"/>
      <c r="C925" s="15"/>
      <c r="D925" s="15"/>
    </row>
    <row r="926" ht="15.75" customHeight="1">
      <c r="A926" s="6"/>
      <c r="C926" s="15"/>
      <c r="D926" s="15"/>
    </row>
    <row r="927" ht="15.75" customHeight="1">
      <c r="A927" s="6"/>
      <c r="C927" s="15"/>
      <c r="D927" s="15"/>
    </row>
    <row r="928" ht="15.75" customHeight="1">
      <c r="A928" s="6"/>
      <c r="C928" s="15"/>
      <c r="D928" s="15"/>
    </row>
    <row r="929" ht="15.75" customHeight="1">
      <c r="A929" s="6"/>
      <c r="C929" s="15"/>
      <c r="D929" s="15"/>
    </row>
    <row r="930" ht="15.75" customHeight="1">
      <c r="A930" s="6"/>
      <c r="C930" s="15"/>
      <c r="D930" s="15"/>
    </row>
    <row r="931" ht="15.75" customHeight="1">
      <c r="A931" s="6"/>
      <c r="C931" s="15"/>
      <c r="D931" s="15"/>
    </row>
    <row r="932" ht="15.75" customHeight="1">
      <c r="A932" s="6"/>
      <c r="C932" s="15"/>
      <c r="D932" s="15"/>
    </row>
    <row r="933" ht="15.75" customHeight="1">
      <c r="A933" s="6"/>
      <c r="C933" s="15"/>
      <c r="D933" s="15"/>
    </row>
    <row r="934" ht="15.75" customHeight="1">
      <c r="A934" s="6"/>
      <c r="C934" s="15"/>
      <c r="D934" s="15"/>
    </row>
    <row r="935" ht="15.75" customHeight="1">
      <c r="A935" s="6"/>
      <c r="C935" s="15"/>
      <c r="D935" s="15"/>
    </row>
    <row r="936" ht="15.75" customHeight="1">
      <c r="A936" s="6"/>
      <c r="C936" s="15"/>
      <c r="D936" s="15"/>
    </row>
    <row r="937" ht="15.75" customHeight="1">
      <c r="A937" s="6"/>
      <c r="C937" s="15"/>
      <c r="D937" s="15"/>
    </row>
    <row r="938" ht="15.75" customHeight="1">
      <c r="A938" s="6"/>
      <c r="C938" s="15"/>
      <c r="D938" s="15"/>
    </row>
    <row r="939" ht="15.75" customHeight="1">
      <c r="A939" s="6"/>
      <c r="C939" s="15"/>
      <c r="D939" s="15"/>
    </row>
    <row r="940" ht="15.75" customHeight="1">
      <c r="A940" s="6"/>
      <c r="C940" s="15"/>
      <c r="D940" s="15"/>
    </row>
    <row r="941" ht="15.75" customHeight="1">
      <c r="A941" s="6"/>
      <c r="C941" s="15"/>
      <c r="D941" s="15"/>
    </row>
    <row r="942" ht="15.75" customHeight="1">
      <c r="A942" s="6"/>
      <c r="C942" s="15"/>
      <c r="D942" s="15"/>
    </row>
    <row r="943" ht="15.75" customHeight="1">
      <c r="A943" s="6"/>
      <c r="C943" s="15"/>
      <c r="D943" s="15"/>
    </row>
    <row r="944" ht="15.75" customHeight="1">
      <c r="A944" s="6"/>
      <c r="C944" s="15"/>
      <c r="D944" s="15"/>
    </row>
    <row r="945" ht="15.75" customHeight="1">
      <c r="A945" s="6"/>
      <c r="C945" s="15"/>
      <c r="D945" s="15"/>
    </row>
    <row r="946" ht="15.75" customHeight="1">
      <c r="A946" s="6"/>
      <c r="C946" s="15"/>
      <c r="D946" s="15"/>
    </row>
    <row r="947" ht="15.75" customHeight="1">
      <c r="A947" s="6"/>
      <c r="C947" s="15"/>
      <c r="D947" s="15"/>
    </row>
    <row r="948" ht="15.75" customHeight="1">
      <c r="A948" s="6"/>
      <c r="C948" s="15"/>
      <c r="D948" s="15"/>
    </row>
    <row r="949" ht="15.75" customHeight="1">
      <c r="A949" s="6"/>
      <c r="C949" s="15"/>
      <c r="D949" s="15"/>
    </row>
    <row r="950" ht="15.75" customHeight="1">
      <c r="A950" s="6"/>
      <c r="C950" s="15"/>
      <c r="D950" s="15"/>
    </row>
    <row r="951" ht="15.75" customHeight="1">
      <c r="A951" s="6"/>
      <c r="C951" s="15"/>
      <c r="D951" s="15"/>
    </row>
    <row r="952" ht="15.75" customHeight="1">
      <c r="A952" s="6"/>
      <c r="C952" s="15"/>
      <c r="D952" s="15"/>
    </row>
    <row r="953" ht="15.75" customHeight="1">
      <c r="A953" s="6"/>
      <c r="C953" s="15"/>
      <c r="D953" s="15"/>
    </row>
    <row r="954" ht="15.75" customHeight="1">
      <c r="A954" s="6"/>
      <c r="C954" s="15"/>
      <c r="D954" s="15"/>
    </row>
    <row r="955" ht="15.75" customHeight="1">
      <c r="A955" s="6"/>
      <c r="C955" s="15"/>
      <c r="D955" s="15"/>
    </row>
    <row r="956" ht="15.75" customHeight="1">
      <c r="A956" s="6"/>
      <c r="C956" s="15"/>
      <c r="D956" s="15"/>
    </row>
    <row r="957" ht="15.75" customHeight="1">
      <c r="A957" s="6"/>
      <c r="C957" s="15"/>
      <c r="D957" s="15"/>
    </row>
    <row r="958" ht="15.75" customHeight="1">
      <c r="A958" s="6"/>
      <c r="C958" s="15"/>
      <c r="D958" s="15"/>
    </row>
    <row r="959" ht="15.75" customHeight="1">
      <c r="A959" s="6"/>
      <c r="C959" s="15"/>
      <c r="D959" s="15"/>
    </row>
    <row r="960" ht="15.75" customHeight="1">
      <c r="A960" s="6"/>
      <c r="C960" s="15"/>
      <c r="D960" s="15"/>
    </row>
    <row r="961" ht="15.75" customHeight="1">
      <c r="A961" s="6"/>
      <c r="C961" s="15"/>
      <c r="D961" s="15"/>
    </row>
    <row r="962" ht="15.75" customHeight="1">
      <c r="A962" s="6"/>
      <c r="C962" s="15"/>
      <c r="D962" s="15"/>
    </row>
    <row r="963" ht="15.75" customHeight="1">
      <c r="A963" s="6"/>
      <c r="C963" s="15"/>
      <c r="D963" s="15"/>
    </row>
    <row r="964" ht="15.75" customHeight="1">
      <c r="A964" s="6"/>
      <c r="C964" s="15"/>
      <c r="D964" s="15"/>
    </row>
    <row r="965" ht="15.75" customHeight="1">
      <c r="A965" s="6"/>
      <c r="C965" s="15"/>
      <c r="D965" s="15"/>
    </row>
    <row r="966" ht="15.75" customHeight="1">
      <c r="A966" s="6"/>
      <c r="C966" s="15"/>
      <c r="D966" s="15"/>
    </row>
    <row r="967" ht="15.75" customHeight="1">
      <c r="A967" s="6"/>
      <c r="C967" s="15"/>
      <c r="D967" s="15"/>
    </row>
    <row r="968" ht="15.75" customHeight="1">
      <c r="A968" s="6"/>
      <c r="C968" s="15"/>
      <c r="D968" s="15"/>
    </row>
    <row r="969" ht="15.75" customHeight="1">
      <c r="A969" s="6"/>
      <c r="C969" s="15"/>
      <c r="D969" s="15"/>
    </row>
    <row r="970" ht="15.75" customHeight="1">
      <c r="A970" s="6"/>
      <c r="C970" s="15"/>
      <c r="D970" s="15"/>
    </row>
    <row r="971" ht="15.75" customHeight="1">
      <c r="A971" s="6"/>
      <c r="C971" s="15"/>
      <c r="D971" s="15"/>
    </row>
    <row r="972" ht="15.75" customHeight="1">
      <c r="A972" s="6"/>
      <c r="C972" s="15"/>
      <c r="D972" s="15"/>
    </row>
    <row r="973" ht="15.75" customHeight="1">
      <c r="A973" s="6"/>
      <c r="C973" s="15"/>
      <c r="D973" s="15"/>
    </row>
    <row r="974" ht="15.75" customHeight="1">
      <c r="A974" s="6"/>
      <c r="C974" s="15"/>
      <c r="D974" s="15"/>
    </row>
    <row r="975" ht="15.75" customHeight="1">
      <c r="A975" s="6"/>
      <c r="C975" s="15"/>
      <c r="D975" s="15"/>
    </row>
    <row r="976" ht="15.75" customHeight="1">
      <c r="A976" s="6"/>
      <c r="C976" s="15"/>
      <c r="D976" s="15"/>
    </row>
    <row r="977" ht="15.75" customHeight="1">
      <c r="A977" s="6"/>
      <c r="C977" s="15"/>
      <c r="D977" s="15"/>
    </row>
    <row r="978" ht="15.75" customHeight="1">
      <c r="A978" s="6"/>
      <c r="C978" s="15"/>
      <c r="D978" s="15"/>
    </row>
    <row r="979" ht="15.75" customHeight="1">
      <c r="A979" s="6"/>
      <c r="C979" s="15"/>
      <c r="D979" s="15"/>
    </row>
    <row r="980" ht="15.75" customHeight="1">
      <c r="A980" s="6"/>
      <c r="C980" s="15"/>
      <c r="D980" s="15"/>
    </row>
    <row r="981" ht="15.75" customHeight="1">
      <c r="A981" s="6"/>
      <c r="C981" s="15"/>
      <c r="D981" s="15"/>
    </row>
    <row r="982" ht="15.75" customHeight="1">
      <c r="A982" s="6"/>
      <c r="C982" s="15"/>
      <c r="D982" s="15"/>
    </row>
    <row r="983" ht="15.75" customHeight="1">
      <c r="A983" s="6"/>
      <c r="C983" s="15"/>
      <c r="D983" s="15"/>
    </row>
    <row r="984" ht="15.75" customHeight="1">
      <c r="A984" s="6"/>
      <c r="C984" s="15"/>
      <c r="D984" s="15"/>
    </row>
    <row r="985" ht="15.75" customHeight="1">
      <c r="A985" s="6"/>
      <c r="C985" s="15"/>
      <c r="D985" s="15"/>
    </row>
    <row r="986" ht="15.75" customHeight="1">
      <c r="A986" s="6"/>
      <c r="C986" s="15"/>
      <c r="D986" s="15"/>
    </row>
    <row r="987" ht="15.75" customHeight="1">
      <c r="A987" s="6"/>
      <c r="C987" s="15"/>
      <c r="D987" s="15"/>
    </row>
    <row r="988" ht="15.75" customHeight="1">
      <c r="A988" s="6"/>
      <c r="C988" s="15"/>
      <c r="D988" s="15"/>
    </row>
    <row r="989" ht="15.75" customHeight="1">
      <c r="A989" s="6"/>
      <c r="C989" s="15"/>
      <c r="D989" s="15"/>
    </row>
    <row r="990" ht="15.75" customHeight="1">
      <c r="A990" s="6"/>
      <c r="C990" s="15"/>
      <c r="D990" s="15"/>
    </row>
    <row r="991" ht="15.75" customHeight="1">
      <c r="A991" s="6"/>
      <c r="C991" s="15"/>
      <c r="D991" s="15"/>
    </row>
    <row r="992" ht="15.75" customHeight="1">
      <c r="A992" s="6"/>
      <c r="C992" s="15"/>
      <c r="D992" s="15"/>
    </row>
    <row r="993" ht="15.75" customHeight="1">
      <c r="A993" s="6"/>
      <c r="C993" s="15"/>
      <c r="D993" s="15"/>
    </row>
    <row r="994" ht="15.75" customHeight="1">
      <c r="A994" s="6"/>
      <c r="C994" s="15"/>
      <c r="D994" s="15"/>
    </row>
    <row r="995" ht="15.75" customHeight="1">
      <c r="A995" s="6"/>
      <c r="C995" s="15"/>
      <c r="D995" s="15"/>
    </row>
    <row r="996" ht="15.75" customHeight="1">
      <c r="A996" s="6"/>
      <c r="C996" s="15"/>
      <c r="D996" s="15"/>
    </row>
    <row r="997" ht="15.75" customHeight="1">
      <c r="A997" s="6"/>
      <c r="C997" s="15"/>
      <c r="D997" s="15"/>
    </row>
    <row r="998" ht="15.75" customHeight="1">
      <c r="A998" s="6"/>
      <c r="C998" s="15"/>
      <c r="D998" s="15"/>
    </row>
    <row r="999" ht="15.75" customHeight="1">
      <c r="A999" s="6"/>
      <c r="C999" s="15"/>
      <c r="D999" s="15"/>
    </row>
    <row r="1000" ht="15.75" customHeight="1">
      <c r="A1000" s="6"/>
      <c r="C1000" s="15"/>
      <c r="D1000" s="1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5.14"/>
    <col customWidth="1" min="8" max="8" width="16.71"/>
    <col customWidth="1" min="9" max="9" width="16.86"/>
    <col customWidth="1" min="10" max="10" width="16.57"/>
  </cols>
  <sheetData>
    <row r="1">
      <c r="A1" s="5" t="s">
        <v>0</v>
      </c>
      <c r="B1" s="16" t="s">
        <v>22</v>
      </c>
      <c r="C1" s="5" t="s">
        <v>1</v>
      </c>
      <c r="D1" s="5" t="s">
        <v>23</v>
      </c>
      <c r="E1" s="16" t="s">
        <v>24</v>
      </c>
      <c r="F1" s="16" t="s">
        <v>25</v>
      </c>
      <c r="G1" s="17" t="s">
        <v>26</v>
      </c>
      <c r="H1" s="17" t="s">
        <v>27</v>
      </c>
      <c r="I1" s="17" t="s">
        <v>28</v>
      </c>
      <c r="J1" s="17" t="s">
        <v>29</v>
      </c>
    </row>
    <row r="2">
      <c r="A2" s="18">
        <v>1.0</v>
      </c>
      <c r="B2" s="18">
        <v>1.0</v>
      </c>
      <c r="C2" s="18" t="s">
        <v>13</v>
      </c>
      <c r="D2" s="18" t="s">
        <v>30</v>
      </c>
      <c r="E2" s="5">
        <v>16.343</v>
      </c>
      <c r="F2" s="5">
        <v>3.309</v>
      </c>
      <c r="G2" s="16">
        <v>16.574</v>
      </c>
      <c r="H2" s="5">
        <f t="shared" ref="H2:H133" si="1">E2+F2</f>
        <v>19.652</v>
      </c>
      <c r="I2" s="19">
        <f t="shared" ref="I2:I133" si="2">((E2+F2)-G2)/(E2+F2)*100</f>
        <v>15.66252799</v>
      </c>
      <c r="J2" s="19">
        <f t="shared" ref="J2:J133" si="3">((E2+F2)-G2)/(G2-E2)*100</f>
        <v>1332.467532</v>
      </c>
    </row>
    <row r="3">
      <c r="A3" s="20">
        <v>1.0</v>
      </c>
      <c r="B3" s="20">
        <v>2.0</v>
      </c>
      <c r="C3" s="18" t="s">
        <v>13</v>
      </c>
      <c r="D3" s="18">
        <v>63.0</v>
      </c>
      <c r="E3" s="5">
        <v>16.4</v>
      </c>
      <c r="F3" s="5">
        <v>4.014</v>
      </c>
      <c r="G3" s="5">
        <v>16.634</v>
      </c>
      <c r="H3" s="5">
        <f t="shared" si="1"/>
        <v>20.414</v>
      </c>
      <c r="I3" s="19">
        <f t="shared" si="2"/>
        <v>18.51670422</v>
      </c>
      <c r="J3" s="19">
        <f t="shared" si="3"/>
        <v>1615.384615</v>
      </c>
    </row>
    <row r="4">
      <c r="A4" s="18">
        <v>2.0</v>
      </c>
      <c r="B4" s="18">
        <v>1.0</v>
      </c>
      <c r="C4" s="18" t="s">
        <v>13</v>
      </c>
      <c r="D4" s="18">
        <v>56.0</v>
      </c>
      <c r="E4" s="5">
        <v>16.303</v>
      </c>
      <c r="F4" s="5">
        <v>3.212</v>
      </c>
      <c r="G4" s="5">
        <v>16.48</v>
      </c>
      <c r="H4" s="5">
        <f t="shared" si="1"/>
        <v>19.515</v>
      </c>
      <c r="I4" s="19">
        <f t="shared" si="2"/>
        <v>15.55213938</v>
      </c>
      <c r="J4" s="19">
        <f t="shared" si="3"/>
        <v>1714.689266</v>
      </c>
    </row>
    <row r="5">
      <c r="A5" s="20">
        <v>2.0</v>
      </c>
      <c r="B5" s="20">
        <v>2.0</v>
      </c>
      <c r="C5" s="18" t="s">
        <v>13</v>
      </c>
      <c r="D5" s="18">
        <v>16.0</v>
      </c>
      <c r="E5" s="5">
        <v>15.436</v>
      </c>
      <c r="F5" s="5">
        <v>3.277</v>
      </c>
      <c r="G5" s="5">
        <v>15.622</v>
      </c>
      <c r="H5" s="5">
        <f t="shared" si="1"/>
        <v>18.713</v>
      </c>
      <c r="I5" s="19">
        <f t="shared" si="2"/>
        <v>16.51792871</v>
      </c>
      <c r="J5" s="19">
        <f t="shared" si="3"/>
        <v>1661.827957</v>
      </c>
    </row>
    <row r="6">
      <c r="A6" s="18">
        <v>3.0</v>
      </c>
      <c r="B6" s="18">
        <v>1.0</v>
      </c>
      <c r="C6" s="18" t="s">
        <v>13</v>
      </c>
      <c r="D6" s="18">
        <v>166.0</v>
      </c>
      <c r="E6" s="5">
        <v>10.105</v>
      </c>
      <c r="F6" s="5">
        <v>3.121</v>
      </c>
      <c r="G6" s="5">
        <v>10.308</v>
      </c>
      <c r="H6" s="5">
        <f t="shared" si="1"/>
        <v>13.226</v>
      </c>
      <c r="I6" s="19">
        <f t="shared" si="2"/>
        <v>22.06260396</v>
      </c>
      <c r="J6" s="19">
        <f t="shared" si="3"/>
        <v>1437.438424</v>
      </c>
    </row>
    <row r="7">
      <c r="A7" s="20">
        <v>3.0</v>
      </c>
      <c r="B7" s="20">
        <v>2.0</v>
      </c>
      <c r="C7" s="18" t="s">
        <v>13</v>
      </c>
      <c r="D7" s="18">
        <v>8.0</v>
      </c>
      <c r="E7" s="5">
        <v>15.162</v>
      </c>
      <c r="F7" s="5">
        <v>3.214</v>
      </c>
      <c r="G7" s="5">
        <v>15.377</v>
      </c>
      <c r="H7" s="5">
        <f t="shared" si="1"/>
        <v>18.376</v>
      </c>
      <c r="I7" s="19">
        <f t="shared" si="2"/>
        <v>16.32020026</v>
      </c>
      <c r="J7" s="19">
        <f t="shared" si="3"/>
        <v>1394.883721</v>
      </c>
    </row>
    <row r="8">
      <c r="A8" s="18">
        <v>4.0</v>
      </c>
      <c r="B8" s="18">
        <v>1.0</v>
      </c>
      <c r="C8" s="18" t="s">
        <v>13</v>
      </c>
      <c r="D8" s="18">
        <v>13.0</v>
      </c>
      <c r="E8" s="5">
        <v>11.89</v>
      </c>
      <c r="F8" s="5">
        <v>3.45</v>
      </c>
      <c r="G8" s="5">
        <v>12.089</v>
      </c>
      <c r="H8" s="5">
        <f t="shared" si="1"/>
        <v>15.34</v>
      </c>
      <c r="I8" s="19">
        <f t="shared" si="2"/>
        <v>21.19295958</v>
      </c>
      <c r="J8" s="19">
        <f t="shared" si="3"/>
        <v>1633.668342</v>
      </c>
    </row>
    <row r="9">
      <c r="A9" s="18">
        <v>4.0</v>
      </c>
      <c r="B9" s="20">
        <v>2.0</v>
      </c>
      <c r="C9" s="18" t="s">
        <v>13</v>
      </c>
      <c r="D9" s="18">
        <v>106.0</v>
      </c>
      <c r="E9" s="5">
        <v>11.35</v>
      </c>
      <c r="F9" s="5">
        <v>3.514</v>
      </c>
      <c r="G9" s="5">
        <v>11.556</v>
      </c>
      <c r="H9" s="5">
        <f t="shared" si="1"/>
        <v>14.864</v>
      </c>
      <c r="I9" s="19">
        <f t="shared" si="2"/>
        <v>22.25511302</v>
      </c>
      <c r="J9" s="19">
        <f t="shared" si="3"/>
        <v>1605.825243</v>
      </c>
    </row>
    <row r="10">
      <c r="A10" s="18">
        <v>5.0</v>
      </c>
      <c r="B10" s="18">
        <v>1.0</v>
      </c>
      <c r="C10" s="18" t="s">
        <v>13</v>
      </c>
      <c r="D10" s="18" t="s">
        <v>31</v>
      </c>
      <c r="E10" s="5">
        <v>16.203</v>
      </c>
      <c r="F10" s="5">
        <v>3.024</v>
      </c>
      <c r="G10" s="5">
        <v>16.371</v>
      </c>
      <c r="H10" s="5">
        <f t="shared" si="1"/>
        <v>19.227</v>
      </c>
      <c r="I10" s="19">
        <f t="shared" si="2"/>
        <v>14.85411141</v>
      </c>
      <c r="J10" s="19">
        <f t="shared" si="3"/>
        <v>1700</v>
      </c>
    </row>
    <row r="11">
      <c r="A11" s="18">
        <v>5.0</v>
      </c>
      <c r="B11" s="20">
        <v>2.0</v>
      </c>
      <c r="C11" s="18" t="s">
        <v>13</v>
      </c>
      <c r="D11" s="18">
        <v>67.0</v>
      </c>
      <c r="E11" s="5">
        <v>16.027</v>
      </c>
      <c r="F11" s="5">
        <v>3.074</v>
      </c>
      <c r="G11" s="5">
        <v>16.207</v>
      </c>
      <c r="H11" s="5">
        <f t="shared" si="1"/>
        <v>19.101</v>
      </c>
      <c r="I11" s="19">
        <f t="shared" si="2"/>
        <v>15.15103921</v>
      </c>
      <c r="J11" s="19">
        <f t="shared" si="3"/>
        <v>1607.777778</v>
      </c>
    </row>
    <row r="12">
      <c r="A12" s="18">
        <v>6.0</v>
      </c>
      <c r="B12" s="18">
        <v>1.0</v>
      </c>
      <c r="C12" s="18" t="s">
        <v>13</v>
      </c>
      <c r="D12" s="18">
        <v>48.0</v>
      </c>
      <c r="E12" s="5">
        <v>15.888</v>
      </c>
      <c r="F12" s="5">
        <v>3.244</v>
      </c>
      <c r="G12" s="5">
        <v>16.082</v>
      </c>
      <c r="H12" s="5">
        <f t="shared" si="1"/>
        <v>19.132</v>
      </c>
      <c r="I12" s="19">
        <f t="shared" si="2"/>
        <v>15.94187748</v>
      </c>
      <c r="J12" s="19">
        <f t="shared" si="3"/>
        <v>1572.164948</v>
      </c>
    </row>
    <row r="13">
      <c r="A13" s="18">
        <v>6.0</v>
      </c>
      <c r="B13" s="20">
        <v>2.0</v>
      </c>
      <c r="C13" s="18" t="s">
        <v>13</v>
      </c>
      <c r="D13" s="18">
        <v>82.0</v>
      </c>
      <c r="E13" s="5">
        <v>16.831</v>
      </c>
      <c r="F13" s="5">
        <v>3.302</v>
      </c>
      <c r="G13" s="5">
        <v>17.014</v>
      </c>
      <c r="H13" s="5">
        <f t="shared" si="1"/>
        <v>20.133</v>
      </c>
      <c r="I13" s="19">
        <f t="shared" si="2"/>
        <v>15.49197834</v>
      </c>
      <c r="J13" s="19">
        <f t="shared" si="3"/>
        <v>1704.371585</v>
      </c>
    </row>
    <row r="14">
      <c r="A14" s="18">
        <v>7.0</v>
      </c>
      <c r="B14" s="18">
        <v>1.0</v>
      </c>
      <c r="C14" s="18" t="s">
        <v>13</v>
      </c>
      <c r="D14" s="18">
        <v>64.0</v>
      </c>
      <c r="E14" s="5">
        <v>12.024</v>
      </c>
      <c r="F14" s="5">
        <v>3.23</v>
      </c>
      <c r="G14" s="5">
        <v>12.246</v>
      </c>
      <c r="H14" s="5">
        <f t="shared" si="1"/>
        <v>15.254</v>
      </c>
      <c r="I14" s="19">
        <f t="shared" si="2"/>
        <v>19.71941786</v>
      </c>
      <c r="J14" s="19">
        <f t="shared" si="3"/>
        <v>1354.954955</v>
      </c>
    </row>
    <row r="15">
      <c r="A15" s="18">
        <v>7.0</v>
      </c>
      <c r="B15" s="20">
        <v>2.0</v>
      </c>
      <c r="C15" s="18" t="s">
        <v>13</v>
      </c>
      <c r="D15" s="18">
        <v>133.0</v>
      </c>
      <c r="E15" s="5">
        <v>11.886</v>
      </c>
      <c r="F15" s="5">
        <v>3.295</v>
      </c>
      <c r="G15" s="5">
        <v>12.103</v>
      </c>
      <c r="H15" s="5">
        <f t="shared" si="1"/>
        <v>15.181</v>
      </c>
      <c r="I15" s="19">
        <f t="shared" si="2"/>
        <v>20.27534418</v>
      </c>
      <c r="J15" s="19">
        <f t="shared" si="3"/>
        <v>1418.43318</v>
      </c>
    </row>
    <row r="16">
      <c r="A16" s="18">
        <v>8.0</v>
      </c>
      <c r="B16" s="18">
        <v>1.0</v>
      </c>
      <c r="C16" s="18" t="s">
        <v>13</v>
      </c>
      <c r="D16" s="18">
        <v>54.0</v>
      </c>
      <c r="E16" s="5">
        <v>15.694</v>
      </c>
      <c r="F16" s="5">
        <v>3.425</v>
      </c>
      <c r="G16" s="5">
        <v>15.885</v>
      </c>
      <c r="H16" s="5">
        <f t="shared" si="1"/>
        <v>19.119</v>
      </c>
      <c r="I16" s="19">
        <f t="shared" si="2"/>
        <v>16.91511062</v>
      </c>
      <c r="J16" s="19">
        <f t="shared" si="3"/>
        <v>1693.193717</v>
      </c>
    </row>
    <row r="17">
      <c r="A17" s="18">
        <v>8.0</v>
      </c>
      <c r="B17" s="20">
        <v>2.0</v>
      </c>
      <c r="C17" s="18" t="s">
        <v>13</v>
      </c>
      <c r="D17" s="18">
        <v>72.0</v>
      </c>
      <c r="E17" s="5">
        <v>14.917</v>
      </c>
      <c r="F17" s="5">
        <v>3.629</v>
      </c>
      <c r="G17" s="5">
        <v>15.12</v>
      </c>
      <c r="H17" s="5">
        <f t="shared" si="1"/>
        <v>18.546</v>
      </c>
      <c r="I17" s="19">
        <f t="shared" si="2"/>
        <v>18.47298609</v>
      </c>
      <c r="J17" s="19">
        <f t="shared" si="3"/>
        <v>1687.684729</v>
      </c>
    </row>
    <row r="18">
      <c r="A18" s="18">
        <v>9.0</v>
      </c>
      <c r="B18" s="20">
        <v>1.0</v>
      </c>
      <c r="C18" s="18" t="s">
        <v>13</v>
      </c>
      <c r="D18" s="18">
        <v>14.0</v>
      </c>
      <c r="E18" s="5">
        <v>11.771</v>
      </c>
      <c r="F18" s="5">
        <v>3.744</v>
      </c>
      <c r="G18" s="5">
        <v>11.973</v>
      </c>
      <c r="H18" s="5">
        <f t="shared" si="1"/>
        <v>15.515</v>
      </c>
      <c r="I18" s="19">
        <f t="shared" si="2"/>
        <v>22.82951982</v>
      </c>
      <c r="J18" s="19">
        <f t="shared" si="3"/>
        <v>1753.465347</v>
      </c>
    </row>
    <row r="19">
      <c r="A19" s="20">
        <v>9.0</v>
      </c>
      <c r="B19" s="20">
        <v>2.0</v>
      </c>
      <c r="C19" s="18" t="s">
        <v>13</v>
      </c>
      <c r="D19" s="18">
        <v>4.0</v>
      </c>
      <c r="E19" s="5">
        <v>16.597</v>
      </c>
      <c r="F19" s="5">
        <v>3.61</v>
      </c>
      <c r="G19" s="5">
        <v>16.807</v>
      </c>
      <c r="H19" s="5">
        <f t="shared" si="1"/>
        <v>20.207</v>
      </c>
      <c r="I19" s="19">
        <f t="shared" si="2"/>
        <v>16.82585243</v>
      </c>
      <c r="J19" s="19">
        <f t="shared" si="3"/>
        <v>1619.047619</v>
      </c>
    </row>
    <row r="20">
      <c r="A20" s="18">
        <v>10.0</v>
      </c>
      <c r="B20" s="20">
        <v>1.0</v>
      </c>
      <c r="C20" s="18" t="s">
        <v>13</v>
      </c>
      <c r="D20" s="18">
        <v>85.0</v>
      </c>
      <c r="E20" s="5">
        <v>16.38</v>
      </c>
      <c r="F20" s="5">
        <v>3.42</v>
      </c>
      <c r="G20" s="5">
        <v>16.57</v>
      </c>
      <c r="H20" s="5">
        <f t="shared" si="1"/>
        <v>19.8</v>
      </c>
      <c r="I20" s="19">
        <f t="shared" si="2"/>
        <v>16.31313131</v>
      </c>
      <c r="J20" s="19">
        <f t="shared" si="3"/>
        <v>1700</v>
      </c>
    </row>
    <row r="21">
      <c r="A21" s="20">
        <v>10.0</v>
      </c>
      <c r="B21" s="20">
        <v>2.0</v>
      </c>
      <c r="C21" s="18" t="s">
        <v>13</v>
      </c>
      <c r="D21" s="18">
        <v>28.0</v>
      </c>
      <c r="E21" s="5">
        <v>15.95</v>
      </c>
      <c r="F21" s="5">
        <v>3.488</v>
      </c>
      <c r="G21" s="5">
        <v>16.135</v>
      </c>
      <c r="H21" s="5">
        <f t="shared" si="1"/>
        <v>19.438</v>
      </c>
      <c r="I21" s="19">
        <f t="shared" si="2"/>
        <v>16.99248894</v>
      </c>
      <c r="J21" s="19">
        <f t="shared" si="3"/>
        <v>1785.405405</v>
      </c>
    </row>
    <row r="22">
      <c r="A22" s="18">
        <v>11.0</v>
      </c>
      <c r="B22" s="20">
        <v>1.0</v>
      </c>
      <c r="C22" s="18" t="s">
        <v>13</v>
      </c>
      <c r="D22" s="18">
        <v>69.0</v>
      </c>
      <c r="E22" s="5">
        <v>15.4</v>
      </c>
      <c r="F22" s="5">
        <v>3.288</v>
      </c>
      <c r="G22" s="5">
        <v>15.615</v>
      </c>
      <c r="H22" s="5">
        <f t="shared" si="1"/>
        <v>18.688</v>
      </c>
      <c r="I22" s="19">
        <f t="shared" si="2"/>
        <v>16.44370719</v>
      </c>
      <c r="J22" s="19">
        <f t="shared" si="3"/>
        <v>1429.302326</v>
      </c>
    </row>
    <row r="23">
      <c r="A23" s="20">
        <v>11.0</v>
      </c>
      <c r="B23" s="20">
        <v>2.0</v>
      </c>
      <c r="C23" s="18" t="s">
        <v>13</v>
      </c>
      <c r="D23" s="18" t="s">
        <v>32</v>
      </c>
      <c r="E23" s="5">
        <v>9.296</v>
      </c>
      <c r="F23" s="5">
        <v>3.215</v>
      </c>
      <c r="G23" s="5">
        <v>9.477</v>
      </c>
      <c r="H23" s="5">
        <f t="shared" si="1"/>
        <v>12.511</v>
      </c>
      <c r="I23" s="19">
        <f t="shared" si="2"/>
        <v>24.25065942</v>
      </c>
      <c r="J23" s="19">
        <f t="shared" si="3"/>
        <v>1676.243094</v>
      </c>
    </row>
    <row r="24">
      <c r="A24" s="18">
        <v>12.0</v>
      </c>
      <c r="B24" s="20">
        <v>1.0</v>
      </c>
      <c r="C24" s="18" t="s">
        <v>13</v>
      </c>
      <c r="D24" s="20">
        <v>100.0</v>
      </c>
      <c r="E24" s="17">
        <v>10.847</v>
      </c>
      <c r="F24" s="17">
        <v>3.298</v>
      </c>
      <c r="G24" s="17">
        <v>10.92</v>
      </c>
      <c r="H24" s="5">
        <f t="shared" si="1"/>
        <v>14.145</v>
      </c>
      <c r="I24" s="19">
        <f t="shared" si="2"/>
        <v>22.79957582</v>
      </c>
      <c r="J24" s="19">
        <f t="shared" si="3"/>
        <v>4417.808219</v>
      </c>
    </row>
    <row r="25">
      <c r="A25" s="20">
        <v>12.0</v>
      </c>
      <c r="B25" s="20">
        <v>2.0</v>
      </c>
      <c r="C25" s="18" t="s">
        <v>13</v>
      </c>
      <c r="D25" s="20">
        <v>101.0</v>
      </c>
      <c r="E25" s="17">
        <v>11.523</v>
      </c>
      <c r="F25" s="17">
        <v>3.298</v>
      </c>
      <c r="G25" s="17">
        <v>11.8</v>
      </c>
      <c r="H25" s="5">
        <f t="shared" si="1"/>
        <v>14.821</v>
      </c>
      <c r="I25" s="19">
        <f t="shared" si="2"/>
        <v>20.38324</v>
      </c>
      <c r="J25" s="19">
        <f t="shared" si="3"/>
        <v>1090.613718</v>
      </c>
    </row>
    <row r="26">
      <c r="A26" s="18">
        <v>13.0</v>
      </c>
      <c r="B26" s="20">
        <v>1.0</v>
      </c>
      <c r="C26" s="18" t="s">
        <v>13</v>
      </c>
      <c r="D26" s="21" t="s">
        <v>33</v>
      </c>
      <c r="E26" s="5">
        <v>10.443</v>
      </c>
      <c r="F26" s="5">
        <v>3.175</v>
      </c>
      <c r="G26" s="5">
        <v>10.632</v>
      </c>
      <c r="H26" s="5">
        <f t="shared" si="1"/>
        <v>13.618</v>
      </c>
      <c r="I26" s="19">
        <f t="shared" si="2"/>
        <v>21.92686151</v>
      </c>
      <c r="J26" s="19">
        <f t="shared" si="3"/>
        <v>1579.89418</v>
      </c>
    </row>
    <row r="27">
      <c r="A27" s="20">
        <v>13.0</v>
      </c>
      <c r="B27" s="20">
        <v>2.0</v>
      </c>
      <c r="C27" s="18" t="s">
        <v>13</v>
      </c>
      <c r="D27" s="21" t="s">
        <v>34</v>
      </c>
      <c r="E27" s="5">
        <v>7.031</v>
      </c>
      <c r="F27" s="5">
        <v>3.35</v>
      </c>
      <c r="G27" s="17">
        <v>9.798</v>
      </c>
      <c r="H27" s="5">
        <f t="shared" si="1"/>
        <v>10.381</v>
      </c>
      <c r="I27" s="19">
        <f t="shared" si="2"/>
        <v>5.616029284</v>
      </c>
      <c r="J27" s="19">
        <f t="shared" si="3"/>
        <v>21.06975063</v>
      </c>
    </row>
    <row r="28">
      <c r="A28" s="18">
        <v>14.0</v>
      </c>
      <c r="B28" s="20">
        <v>1.0</v>
      </c>
      <c r="C28" s="18" t="s">
        <v>13</v>
      </c>
      <c r="D28" s="18" t="s">
        <v>35</v>
      </c>
      <c r="E28" s="5">
        <v>7.085</v>
      </c>
      <c r="F28" s="5">
        <v>3.29</v>
      </c>
      <c r="G28" s="5">
        <v>7.257</v>
      </c>
      <c r="H28" s="5">
        <f t="shared" si="1"/>
        <v>10.375</v>
      </c>
      <c r="I28" s="19">
        <f t="shared" si="2"/>
        <v>30.05301205</v>
      </c>
      <c r="J28" s="19">
        <f t="shared" si="3"/>
        <v>1812.790698</v>
      </c>
    </row>
    <row r="29">
      <c r="A29" s="20">
        <v>14.0</v>
      </c>
      <c r="B29" s="20">
        <v>2.0</v>
      </c>
      <c r="C29" s="18" t="s">
        <v>13</v>
      </c>
      <c r="D29" s="18" t="s">
        <v>36</v>
      </c>
      <c r="E29" s="5">
        <v>10.453</v>
      </c>
      <c r="F29" s="5">
        <v>3.26</v>
      </c>
      <c r="G29" s="5">
        <v>10.628</v>
      </c>
      <c r="H29" s="5">
        <f t="shared" si="1"/>
        <v>13.713</v>
      </c>
      <c r="I29" s="19">
        <f t="shared" si="2"/>
        <v>22.49690075</v>
      </c>
      <c r="J29" s="19">
        <f t="shared" si="3"/>
        <v>1762.857143</v>
      </c>
    </row>
    <row r="30">
      <c r="A30" s="18">
        <v>15.0</v>
      </c>
      <c r="B30" s="20">
        <v>1.0</v>
      </c>
      <c r="C30" s="18" t="s">
        <v>13</v>
      </c>
      <c r="D30" s="18" t="s">
        <v>37</v>
      </c>
      <c r="E30" s="5">
        <v>6.983</v>
      </c>
      <c r="F30" s="5">
        <v>3.08</v>
      </c>
      <c r="G30" s="5">
        <v>7.191</v>
      </c>
      <c r="H30" s="5">
        <f t="shared" si="1"/>
        <v>10.063</v>
      </c>
      <c r="I30" s="19">
        <f t="shared" si="2"/>
        <v>28.54019676</v>
      </c>
      <c r="J30" s="19">
        <f t="shared" si="3"/>
        <v>1380.769231</v>
      </c>
    </row>
    <row r="31">
      <c r="A31" s="20">
        <v>15.0</v>
      </c>
      <c r="B31" s="20">
        <v>2.0</v>
      </c>
      <c r="C31" s="18" t="s">
        <v>13</v>
      </c>
      <c r="D31" s="18" t="s">
        <v>38</v>
      </c>
      <c r="E31" s="5">
        <v>6.819</v>
      </c>
      <c r="F31" s="5">
        <v>3.18</v>
      </c>
      <c r="G31" s="5">
        <v>7.049</v>
      </c>
      <c r="H31" s="5">
        <f t="shared" si="1"/>
        <v>9.999</v>
      </c>
      <c r="I31" s="19">
        <f t="shared" si="2"/>
        <v>29.5029503</v>
      </c>
      <c r="J31" s="19">
        <f t="shared" si="3"/>
        <v>1282.608696</v>
      </c>
    </row>
    <row r="32">
      <c r="A32" s="18">
        <v>16.0</v>
      </c>
      <c r="B32" s="20">
        <v>1.0</v>
      </c>
      <c r="C32" s="18" t="s">
        <v>13</v>
      </c>
      <c r="D32" s="18" t="s">
        <v>39</v>
      </c>
      <c r="E32" s="5">
        <v>7.255</v>
      </c>
      <c r="F32" s="5">
        <v>3.156</v>
      </c>
      <c r="G32" s="5">
        <v>7.431</v>
      </c>
      <c r="H32" s="5">
        <f t="shared" si="1"/>
        <v>10.411</v>
      </c>
      <c r="I32" s="19">
        <f t="shared" si="2"/>
        <v>28.62357122</v>
      </c>
      <c r="J32" s="19">
        <f t="shared" si="3"/>
        <v>1693.181818</v>
      </c>
    </row>
    <row r="33">
      <c r="A33" s="20">
        <v>16.0</v>
      </c>
      <c r="B33" s="20">
        <v>2.0</v>
      </c>
      <c r="C33" s="18" t="s">
        <v>13</v>
      </c>
      <c r="D33" s="18" t="s">
        <v>40</v>
      </c>
      <c r="E33" s="5">
        <v>6.837</v>
      </c>
      <c r="F33" s="5">
        <v>3.185</v>
      </c>
      <c r="G33" s="5">
        <v>7.018</v>
      </c>
      <c r="H33" s="5">
        <f t="shared" si="1"/>
        <v>10.022</v>
      </c>
      <c r="I33" s="19">
        <f t="shared" si="2"/>
        <v>29.97405707</v>
      </c>
      <c r="J33" s="19">
        <f t="shared" si="3"/>
        <v>1659.668508</v>
      </c>
    </row>
    <row r="34">
      <c r="A34" s="18">
        <v>17.0</v>
      </c>
      <c r="B34" s="20">
        <v>1.0</v>
      </c>
      <c r="C34" s="18" t="s">
        <v>13</v>
      </c>
      <c r="D34" s="18" t="s">
        <v>41</v>
      </c>
      <c r="E34" s="5">
        <v>7.536</v>
      </c>
      <c r="F34" s="5">
        <v>3.19</v>
      </c>
      <c r="G34" s="5">
        <v>7.73</v>
      </c>
      <c r="H34" s="5">
        <f t="shared" si="1"/>
        <v>10.726</v>
      </c>
      <c r="I34" s="19">
        <f t="shared" si="2"/>
        <v>27.93212754</v>
      </c>
      <c r="J34" s="19">
        <f t="shared" si="3"/>
        <v>1544.329897</v>
      </c>
    </row>
    <row r="35">
      <c r="A35" s="20">
        <v>17.0</v>
      </c>
      <c r="B35" s="20">
        <v>2.0</v>
      </c>
      <c r="C35" s="18" t="s">
        <v>13</v>
      </c>
      <c r="D35" s="18" t="s">
        <v>42</v>
      </c>
      <c r="E35" s="5">
        <v>6.914</v>
      </c>
      <c r="F35" s="5">
        <v>3.158</v>
      </c>
      <c r="G35" s="5">
        <v>7.098</v>
      </c>
      <c r="H35" s="5">
        <f t="shared" si="1"/>
        <v>10.072</v>
      </c>
      <c r="I35" s="19">
        <f t="shared" si="2"/>
        <v>29.5274027</v>
      </c>
      <c r="J35" s="19">
        <f t="shared" si="3"/>
        <v>1616.304348</v>
      </c>
    </row>
    <row r="36">
      <c r="A36" s="18">
        <v>18.0</v>
      </c>
      <c r="B36" s="20">
        <v>1.0</v>
      </c>
      <c r="C36" s="18" t="s">
        <v>13</v>
      </c>
      <c r="D36" s="18" t="s">
        <v>43</v>
      </c>
      <c r="E36" s="5">
        <v>10.555</v>
      </c>
      <c r="F36" s="5">
        <v>3.14</v>
      </c>
      <c r="G36" s="5">
        <v>10.741</v>
      </c>
      <c r="H36" s="5">
        <f t="shared" si="1"/>
        <v>13.695</v>
      </c>
      <c r="I36" s="19">
        <f t="shared" si="2"/>
        <v>21.56991603</v>
      </c>
      <c r="J36" s="19">
        <f t="shared" si="3"/>
        <v>1588.172043</v>
      </c>
    </row>
    <row r="37">
      <c r="A37" s="20">
        <v>18.0</v>
      </c>
      <c r="B37" s="20">
        <v>2.0</v>
      </c>
      <c r="C37" s="18" t="s">
        <v>13</v>
      </c>
      <c r="D37" s="18" t="s">
        <v>44</v>
      </c>
      <c r="E37" s="5">
        <v>10.886</v>
      </c>
      <c r="F37" s="5">
        <v>3.34</v>
      </c>
      <c r="G37" s="5">
        <v>11.194</v>
      </c>
      <c r="H37" s="5">
        <f t="shared" si="1"/>
        <v>14.226</v>
      </c>
      <c r="I37" s="19">
        <f t="shared" si="2"/>
        <v>21.31308871</v>
      </c>
      <c r="J37" s="19">
        <f t="shared" si="3"/>
        <v>984.4155844</v>
      </c>
    </row>
    <row r="38">
      <c r="A38" s="18">
        <v>19.0</v>
      </c>
      <c r="B38" s="20">
        <v>1.0</v>
      </c>
      <c r="C38" s="18" t="s">
        <v>13</v>
      </c>
      <c r="D38" s="18" t="s">
        <v>45</v>
      </c>
      <c r="E38" s="5">
        <v>10.393</v>
      </c>
      <c r="F38" s="5">
        <v>3.475</v>
      </c>
      <c r="G38" s="5">
        <v>10.574</v>
      </c>
      <c r="H38" s="5">
        <f t="shared" si="1"/>
        <v>13.868</v>
      </c>
      <c r="I38" s="19">
        <f t="shared" si="2"/>
        <v>23.7525238</v>
      </c>
      <c r="J38" s="19">
        <f t="shared" si="3"/>
        <v>1819.889503</v>
      </c>
    </row>
    <row r="39">
      <c r="A39" s="20">
        <v>19.0</v>
      </c>
      <c r="B39" s="20">
        <v>2.0</v>
      </c>
      <c r="C39" s="18" t="s">
        <v>13</v>
      </c>
      <c r="D39" s="20" t="s">
        <v>46</v>
      </c>
      <c r="E39" s="5">
        <v>10.883</v>
      </c>
      <c r="F39" s="5">
        <v>3.252</v>
      </c>
      <c r="G39" s="16">
        <v>11.074</v>
      </c>
      <c r="H39" s="5">
        <f t="shared" si="1"/>
        <v>14.135</v>
      </c>
      <c r="I39" s="19">
        <f t="shared" si="2"/>
        <v>21.65546516</v>
      </c>
      <c r="J39" s="19">
        <f t="shared" si="3"/>
        <v>1602.617801</v>
      </c>
    </row>
    <row r="40">
      <c r="A40" s="18">
        <v>20.0</v>
      </c>
      <c r="B40" s="20">
        <v>1.0</v>
      </c>
      <c r="C40" s="18" t="s">
        <v>13</v>
      </c>
      <c r="D40" s="18" t="s">
        <v>47</v>
      </c>
      <c r="E40" s="5">
        <v>6.76</v>
      </c>
      <c r="F40" s="5">
        <v>3.306</v>
      </c>
      <c r="G40" s="5">
        <v>6.936</v>
      </c>
      <c r="H40" s="5">
        <f t="shared" si="1"/>
        <v>10.066</v>
      </c>
      <c r="I40" s="19">
        <f t="shared" si="2"/>
        <v>31.09477449</v>
      </c>
      <c r="J40" s="19">
        <f t="shared" si="3"/>
        <v>1778.409091</v>
      </c>
    </row>
    <row r="41">
      <c r="A41" s="20">
        <v>20.0</v>
      </c>
      <c r="B41" s="20">
        <v>2.0</v>
      </c>
      <c r="C41" s="18" t="s">
        <v>13</v>
      </c>
      <c r="D41" s="18" t="s">
        <v>44</v>
      </c>
      <c r="E41" s="5">
        <v>10.992</v>
      </c>
      <c r="F41" s="5">
        <v>3.3</v>
      </c>
      <c r="G41" s="5">
        <v>11.083</v>
      </c>
      <c r="H41" s="5">
        <f t="shared" si="1"/>
        <v>14.292</v>
      </c>
      <c r="I41" s="19">
        <f t="shared" si="2"/>
        <v>22.45312063</v>
      </c>
      <c r="J41" s="19">
        <f t="shared" si="3"/>
        <v>3526.373626</v>
      </c>
    </row>
    <row r="42">
      <c r="A42" s="18">
        <v>21.0</v>
      </c>
      <c r="B42" s="20">
        <v>1.0</v>
      </c>
      <c r="C42" s="18" t="s">
        <v>13</v>
      </c>
      <c r="D42" s="18" t="s">
        <v>48</v>
      </c>
      <c r="E42" s="5">
        <v>10.163</v>
      </c>
      <c r="F42" s="5">
        <v>3.112</v>
      </c>
      <c r="G42" s="5">
        <v>10.308</v>
      </c>
      <c r="H42" s="5">
        <f t="shared" si="1"/>
        <v>13.275</v>
      </c>
      <c r="I42" s="19">
        <f t="shared" si="2"/>
        <v>22.35028249</v>
      </c>
      <c r="J42" s="19">
        <f t="shared" si="3"/>
        <v>2046.206897</v>
      </c>
    </row>
    <row r="43">
      <c r="A43" s="20">
        <v>21.0</v>
      </c>
      <c r="B43" s="20">
        <v>2.0</v>
      </c>
      <c r="C43" s="18" t="s">
        <v>13</v>
      </c>
      <c r="D43" s="18" t="s">
        <v>49</v>
      </c>
      <c r="E43" s="5">
        <v>11.45</v>
      </c>
      <c r="F43" s="5">
        <v>3.215</v>
      </c>
      <c r="G43" s="5">
        <v>11.589</v>
      </c>
      <c r="H43" s="5">
        <f t="shared" si="1"/>
        <v>14.665</v>
      </c>
      <c r="I43" s="19">
        <f t="shared" si="2"/>
        <v>20.97511081</v>
      </c>
      <c r="J43" s="19">
        <f t="shared" si="3"/>
        <v>2212.94964</v>
      </c>
    </row>
    <row r="44">
      <c r="A44" s="18">
        <v>22.0</v>
      </c>
      <c r="B44" s="20">
        <v>1.0</v>
      </c>
      <c r="C44" s="18" t="s">
        <v>13</v>
      </c>
      <c r="D44" s="18" t="s">
        <v>50</v>
      </c>
      <c r="E44" s="5">
        <v>7.858</v>
      </c>
      <c r="F44" s="5">
        <v>3.107</v>
      </c>
      <c r="G44" s="5">
        <v>8.021</v>
      </c>
      <c r="H44" s="5">
        <f t="shared" si="1"/>
        <v>10.965</v>
      </c>
      <c r="I44" s="19">
        <f t="shared" si="2"/>
        <v>26.84906521</v>
      </c>
      <c r="J44" s="19">
        <f t="shared" si="3"/>
        <v>1806.134969</v>
      </c>
    </row>
    <row r="45">
      <c r="A45" s="20">
        <v>22.0</v>
      </c>
      <c r="B45" s="20">
        <v>2.0</v>
      </c>
      <c r="C45" s="18" t="s">
        <v>13</v>
      </c>
      <c r="D45" s="18" t="s">
        <v>51</v>
      </c>
      <c r="E45" s="5">
        <v>10.032</v>
      </c>
      <c r="F45" s="5">
        <v>3.155</v>
      </c>
      <c r="G45" s="5">
        <v>10.212</v>
      </c>
      <c r="H45" s="5">
        <f t="shared" si="1"/>
        <v>13.187</v>
      </c>
      <c r="I45" s="19">
        <f t="shared" si="2"/>
        <v>22.56009707</v>
      </c>
      <c r="J45" s="19">
        <f t="shared" si="3"/>
        <v>1652.777778</v>
      </c>
    </row>
    <row r="46">
      <c r="A46" s="18">
        <v>23.0</v>
      </c>
      <c r="B46" s="20">
        <v>1.0</v>
      </c>
      <c r="C46" s="18" t="s">
        <v>14</v>
      </c>
      <c r="D46" s="18" t="s">
        <v>52</v>
      </c>
      <c r="E46" s="5">
        <v>11.367</v>
      </c>
      <c r="F46" s="5">
        <v>3.095</v>
      </c>
      <c r="G46" s="5">
        <v>11.527</v>
      </c>
      <c r="H46" s="5">
        <f t="shared" si="1"/>
        <v>14.462</v>
      </c>
      <c r="I46" s="19">
        <f t="shared" si="2"/>
        <v>20.29456507</v>
      </c>
      <c r="J46" s="19">
        <f t="shared" si="3"/>
        <v>1834.375</v>
      </c>
    </row>
    <row r="47">
      <c r="A47" s="20">
        <v>23.0</v>
      </c>
      <c r="B47" s="20">
        <v>2.0</v>
      </c>
      <c r="C47" s="18" t="s">
        <v>14</v>
      </c>
      <c r="D47" s="18" t="s">
        <v>53</v>
      </c>
      <c r="E47" s="5">
        <v>10.927</v>
      </c>
      <c r="F47" s="5">
        <v>3.129</v>
      </c>
      <c r="G47" s="5">
        <v>11.122</v>
      </c>
      <c r="H47" s="5">
        <f t="shared" si="1"/>
        <v>14.056</v>
      </c>
      <c r="I47" s="19">
        <f t="shared" si="2"/>
        <v>20.87364826</v>
      </c>
      <c r="J47" s="19">
        <f t="shared" si="3"/>
        <v>1504.615385</v>
      </c>
    </row>
    <row r="48">
      <c r="A48" s="18">
        <v>24.0</v>
      </c>
      <c r="B48" s="20">
        <v>1.0</v>
      </c>
      <c r="C48" s="18" t="s">
        <v>14</v>
      </c>
      <c r="D48" s="18" t="s">
        <v>54</v>
      </c>
      <c r="E48" s="5">
        <v>7.34</v>
      </c>
      <c r="F48" s="5">
        <v>3.27</v>
      </c>
      <c r="G48" s="5">
        <v>7.534</v>
      </c>
      <c r="H48" s="5">
        <f t="shared" si="1"/>
        <v>10.61</v>
      </c>
      <c r="I48" s="19">
        <f t="shared" si="2"/>
        <v>28.99151744</v>
      </c>
      <c r="J48" s="19">
        <f t="shared" si="3"/>
        <v>1585.56701</v>
      </c>
    </row>
    <row r="49">
      <c r="A49" s="20">
        <v>24.0</v>
      </c>
      <c r="B49" s="20">
        <v>2.0</v>
      </c>
      <c r="C49" s="18" t="s">
        <v>14</v>
      </c>
      <c r="D49" s="18" t="s">
        <v>55</v>
      </c>
      <c r="E49" s="5">
        <v>6.43</v>
      </c>
      <c r="F49" s="5">
        <v>3.232</v>
      </c>
      <c r="G49" s="5">
        <v>6.628</v>
      </c>
      <c r="H49" s="5">
        <f t="shared" si="1"/>
        <v>9.662</v>
      </c>
      <c r="I49" s="19">
        <f t="shared" si="2"/>
        <v>31.40136618</v>
      </c>
      <c r="J49" s="19">
        <f t="shared" si="3"/>
        <v>1532.323232</v>
      </c>
    </row>
    <row r="50">
      <c r="A50" s="18">
        <v>25.0</v>
      </c>
      <c r="B50" s="20">
        <v>1.0</v>
      </c>
      <c r="C50" s="18" t="s">
        <v>14</v>
      </c>
      <c r="D50" s="18" t="s">
        <v>56</v>
      </c>
      <c r="E50" s="5">
        <v>6.648</v>
      </c>
      <c r="F50" s="5">
        <v>3.302</v>
      </c>
      <c r="G50" s="5">
        <v>6.842</v>
      </c>
      <c r="H50" s="5">
        <f t="shared" si="1"/>
        <v>9.95</v>
      </c>
      <c r="I50" s="19">
        <f t="shared" si="2"/>
        <v>31.2361809</v>
      </c>
      <c r="J50" s="19">
        <f t="shared" si="3"/>
        <v>1602.061856</v>
      </c>
    </row>
    <row r="51">
      <c r="A51" s="20">
        <v>25.0</v>
      </c>
      <c r="B51" s="20">
        <v>2.0</v>
      </c>
      <c r="C51" s="18" t="s">
        <v>14</v>
      </c>
      <c r="D51" s="18" t="s">
        <v>57</v>
      </c>
      <c r="E51" s="5">
        <v>7.364</v>
      </c>
      <c r="F51" s="5">
        <v>3.33</v>
      </c>
      <c r="G51" s="5">
        <v>7.549</v>
      </c>
      <c r="H51" s="5">
        <f t="shared" si="1"/>
        <v>10.694</v>
      </c>
      <c r="I51" s="19">
        <f t="shared" si="2"/>
        <v>29.4090144</v>
      </c>
      <c r="J51" s="19">
        <f t="shared" si="3"/>
        <v>1700</v>
      </c>
    </row>
    <row r="52">
      <c r="A52" s="20">
        <v>26.0</v>
      </c>
      <c r="B52" s="18">
        <v>1.0</v>
      </c>
      <c r="C52" s="18" t="s">
        <v>14</v>
      </c>
      <c r="D52" s="18" t="s">
        <v>58</v>
      </c>
      <c r="E52" s="5">
        <v>10.627</v>
      </c>
      <c r="F52" s="5">
        <v>3.08</v>
      </c>
      <c r="G52" s="5">
        <v>10.797</v>
      </c>
      <c r="H52" s="5">
        <f t="shared" si="1"/>
        <v>13.707</v>
      </c>
      <c r="I52" s="19">
        <f t="shared" si="2"/>
        <v>21.23002845</v>
      </c>
      <c r="J52" s="19">
        <f t="shared" si="3"/>
        <v>1711.764706</v>
      </c>
    </row>
    <row r="53">
      <c r="A53" s="20">
        <v>26.0</v>
      </c>
      <c r="B53" s="20">
        <v>2.0</v>
      </c>
      <c r="C53" s="18" t="s">
        <v>14</v>
      </c>
      <c r="D53" s="18" t="s">
        <v>59</v>
      </c>
      <c r="E53" s="5">
        <v>11.349</v>
      </c>
      <c r="F53" s="5">
        <v>3.076</v>
      </c>
      <c r="G53" s="5">
        <v>11.5</v>
      </c>
      <c r="H53" s="5">
        <f t="shared" si="1"/>
        <v>14.425</v>
      </c>
      <c r="I53" s="19">
        <f t="shared" si="2"/>
        <v>20.27729636</v>
      </c>
      <c r="J53" s="19">
        <f t="shared" si="3"/>
        <v>1937.086093</v>
      </c>
    </row>
    <row r="54">
      <c r="A54" s="18">
        <v>27.0</v>
      </c>
      <c r="B54" s="18">
        <v>1.0</v>
      </c>
      <c r="C54" s="18" t="s">
        <v>14</v>
      </c>
      <c r="D54" s="18" t="s">
        <v>60</v>
      </c>
      <c r="E54" s="5">
        <v>7.161</v>
      </c>
      <c r="F54" s="5">
        <v>3.144</v>
      </c>
      <c r="G54" s="18">
        <v>7.354</v>
      </c>
      <c r="H54" s="5">
        <f t="shared" si="1"/>
        <v>10.305</v>
      </c>
      <c r="I54" s="19">
        <f t="shared" si="2"/>
        <v>28.63658418</v>
      </c>
      <c r="J54" s="19">
        <f t="shared" si="3"/>
        <v>1529.015544</v>
      </c>
    </row>
    <row r="55">
      <c r="A55" s="20">
        <v>27.0</v>
      </c>
      <c r="B55" s="20">
        <v>2.0</v>
      </c>
      <c r="C55" s="18" t="s">
        <v>14</v>
      </c>
      <c r="D55" s="18" t="s">
        <v>61</v>
      </c>
      <c r="E55" s="5">
        <v>10.903</v>
      </c>
      <c r="F55" s="5">
        <v>3.188</v>
      </c>
      <c r="G55" s="17">
        <v>11.231</v>
      </c>
      <c r="H55" s="5">
        <f t="shared" si="1"/>
        <v>14.091</v>
      </c>
      <c r="I55" s="19">
        <f t="shared" si="2"/>
        <v>20.29664325</v>
      </c>
      <c r="J55" s="19">
        <f t="shared" si="3"/>
        <v>871.9512195</v>
      </c>
    </row>
    <row r="56">
      <c r="A56" s="18">
        <v>28.0</v>
      </c>
      <c r="B56" s="18">
        <v>1.0</v>
      </c>
      <c r="C56" s="18" t="s">
        <v>14</v>
      </c>
      <c r="D56" s="18" t="s">
        <v>62</v>
      </c>
      <c r="E56" s="5">
        <v>7.126</v>
      </c>
      <c r="F56" s="5">
        <v>3.143</v>
      </c>
      <c r="G56" s="5">
        <v>7.297</v>
      </c>
      <c r="H56" s="5">
        <f t="shared" si="1"/>
        <v>10.269</v>
      </c>
      <c r="I56" s="19">
        <f t="shared" si="2"/>
        <v>28.94147434</v>
      </c>
      <c r="J56" s="19">
        <f t="shared" si="3"/>
        <v>1738.011696</v>
      </c>
    </row>
    <row r="57">
      <c r="A57" s="20">
        <v>28.0</v>
      </c>
      <c r="B57" s="20">
        <v>2.0</v>
      </c>
      <c r="C57" s="18" t="s">
        <v>14</v>
      </c>
      <c r="D57" s="18" t="s">
        <v>63</v>
      </c>
      <c r="E57" s="5">
        <v>7.262</v>
      </c>
      <c r="F57" s="5">
        <v>3.23</v>
      </c>
      <c r="G57" s="5">
        <v>7.442</v>
      </c>
      <c r="H57" s="5">
        <f t="shared" si="1"/>
        <v>10.492</v>
      </c>
      <c r="I57" s="19">
        <f t="shared" si="2"/>
        <v>29.06976744</v>
      </c>
      <c r="J57" s="19">
        <f t="shared" si="3"/>
        <v>1694.444444</v>
      </c>
    </row>
    <row r="58">
      <c r="A58" s="18">
        <v>29.0</v>
      </c>
      <c r="B58" s="18">
        <v>1.0</v>
      </c>
      <c r="C58" s="18" t="s">
        <v>14</v>
      </c>
      <c r="D58" s="18" t="s">
        <v>64</v>
      </c>
      <c r="E58" s="5">
        <v>10.782</v>
      </c>
      <c r="F58" s="5">
        <v>3.142</v>
      </c>
      <c r="G58" s="5">
        <v>10.956</v>
      </c>
      <c r="H58" s="5">
        <f t="shared" si="1"/>
        <v>13.924</v>
      </c>
      <c r="I58" s="19">
        <f t="shared" si="2"/>
        <v>21.31571388</v>
      </c>
      <c r="J58" s="19">
        <f t="shared" si="3"/>
        <v>1705.747126</v>
      </c>
    </row>
    <row r="59">
      <c r="A59" s="20">
        <v>29.0</v>
      </c>
      <c r="B59" s="20">
        <v>2.0</v>
      </c>
      <c r="C59" s="18" t="s">
        <v>14</v>
      </c>
      <c r="D59" s="18" t="s">
        <v>65</v>
      </c>
      <c r="E59" s="5">
        <v>7.543</v>
      </c>
      <c r="F59" s="5">
        <v>3.15</v>
      </c>
      <c r="G59" s="5">
        <v>7.712</v>
      </c>
      <c r="H59" s="5">
        <f t="shared" si="1"/>
        <v>10.693</v>
      </c>
      <c r="I59" s="19">
        <f t="shared" si="2"/>
        <v>27.87805106</v>
      </c>
      <c r="J59" s="19">
        <f t="shared" si="3"/>
        <v>1763.905325</v>
      </c>
    </row>
    <row r="60">
      <c r="A60" s="18">
        <v>30.0</v>
      </c>
      <c r="B60" s="18">
        <v>1.0</v>
      </c>
      <c r="C60" s="18" t="s">
        <v>14</v>
      </c>
      <c r="D60" s="18" t="s">
        <v>66</v>
      </c>
      <c r="E60" s="5">
        <v>10.627</v>
      </c>
      <c r="F60" s="5">
        <v>3.211</v>
      </c>
      <c r="G60" s="5">
        <v>11.064</v>
      </c>
      <c r="H60" s="5">
        <f t="shared" si="1"/>
        <v>13.838</v>
      </c>
      <c r="I60" s="19">
        <f t="shared" si="2"/>
        <v>20.04624946</v>
      </c>
      <c r="J60" s="19">
        <f t="shared" si="3"/>
        <v>634.7826087</v>
      </c>
    </row>
    <row r="61">
      <c r="A61" s="20">
        <v>30.0</v>
      </c>
      <c r="B61" s="20">
        <v>2.0</v>
      </c>
      <c r="C61" s="18" t="s">
        <v>14</v>
      </c>
      <c r="D61" s="18" t="s">
        <v>67</v>
      </c>
      <c r="E61" s="5">
        <v>10.522</v>
      </c>
      <c r="F61" s="5">
        <v>3.317</v>
      </c>
      <c r="G61" s="5">
        <v>10.699</v>
      </c>
      <c r="H61" s="5">
        <f t="shared" si="1"/>
        <v>13.839</v>
      </c>
      <c r="I61" s="19">
        <f t="shared" si="2"/>
        <v>22.68950069</v>
      </c>
      <c r="J61" s="19">
        <f t="shared" si="3"/>
        <v>1774.011299</v>
      </c>
    </row>
    <row r="62">
      <c r="A62" s="18">
        <v>31.0</v>
      </c>
      <c r="B62" s="18">
        <v>1.0</v>
      </c>
      <c r="C62" s="18" t="s">
        <v>14</v>
      </c>
      <c r="D62" s="20" t="s">
        <v>68</v>
      </c>
      <c r="E62" s="5">
        <v>10.875</v>
      </c>
      <c r="F62" s="5">
        <v>3.162</v>
      </c>
      <c r="G62" s="16">
        <v>11.206</v>
      </c>
      <c r="H62" s="5">
        <f t="shared" si="1"/>
        <v>14.037</v>
      </c>
      <c r="I62" s="19">
        <f t="shared" si="2"/>
        <v>20.16812709</v>
      </c>
      <c r="J62" s="19">
        <f t="shared" si="3"/>
        <v>855.2870091</v>
      </c>
    </row>
    <row r="63">
      <c r="A63" s="20">
        <v>31.0</v>
      </c>
      <c r="B63" s="20">
        <v>2.0</v>
      </c>
      <c r="C63" s="18" t="s">
        <v>14</v>
      </c>
      <c r="D63" s="18" t="s">
        <v>69</v>
      </c>
      <c r="E63" s="5">
        <v>7.129</v>
      </c>
      <c r="F63" s="5">
        <v>3.12</v>
      </c>
      <c r="G63" s="5">
        <v>7.31</v>
      </c>
      <c r="H63" s="5">
        <f t="shared" si="1"/>
        <v>10.249</v>
      </c>
      <c r="I63" s="19">
        <f t="shared" si="2"/>
        <v>28.67596839</v>
      </c>
      <c r="J63" s="19">
        <f t="shared" si="3"/>
        <v>1623.756906</v>
      </c>
    </row>
    <row r="64">
      <c r="A64" s="18">
        <v>32.0</v>
      </c>
      <c r="B64" s="18">
        <v>1.0</v>
      </c>
      <c r="C64" s="18" t="s">
        <v>14</v>
      </c>
      <c r="D64" s="20" t="s">
        <v>70</v>
      </c>
      <c r="E64" s="5">
        <v>9.35</v>
      </c>
      <c r="F64" s="5">
        <v>3.194</v>
      </c>
      <c r="G64" s="5">
        <v>9.506</v>
      </c>
      <c r="H64" s="5">
        <f t="shared" si="1"/>
        <v>12.544</v>
      </c>
      <c r="I64" s="19">
        <f t="shared" si="2"/>
        <v>24.21875</v>
      </c>
      <c r="J64" s="19">
        <f t="shared" si="3"/>
        <v>1947.435897</v>
      </c>
    </row>
    <row r="65">
      <c r="A65" s="20">
        <v>32.0</v>
      </c>
      <c r="B65" s="20">
        <v>2.0</v>
      </c>
      <c r="C65" s="18" t="s">
        <v>14</v>
      </c>
      <c r="D65" s="18" t="s">
        <v>71</v>
      </c>
      <c r="E65" s="5">
        <v>6.622</v>
      </c>
      <c r="F65" s="5">
        <v>3.111</v>
      </c>
      <c r="G65" s="5">
        <v>6.777</v>
      </c>
      <c r="H65" s="5">
        <f t="shared" si="1"/>
        <v>9.733</v>
      </c>
      <c r="I65" s="19">
        <f t="shared" si="2"/>
        <v>30.37090311</v>
      </c>
      <c r="J65" s="19">
        <f t="shared" si="3"/>
        <v>1907.096774</v>
      </c>
    </row>
    <row r="66">
      <c r="A66" s="18">
        <v>33.0</v>
      </c>
      <c r="B66" s="18">
        <v>1.0</v>
      </c>
      <c r="C66" s="18" t="s">
        <v>14</v>
      </c>
      <c r="D66" s="18" t="s">
        <v>72</v>
      </c>
      <c r="E66" s="5">
        <v>10.495</v>
      </c>
      <c r="F66" s="5">
        <v>3.122</v>
      </c>
      <c r="G66" s="5">
        <v>10.659</v>
      </c>
      <c r="H66" s="5">
        <f t="shared" si="1"/>
        <v>13.617</v>
      </c>
      <c r="I66" s="19">
        <f t="shared" si="2"/>
        <v>21.72284644</v>
      </c>
      <c r="J66" s="19">
        <f t="shared" si="3"/>
        <v>1803.658537</v>
      </c>
    </row>
    <row r="67">
      <c r="A67" s="20">
        <v>33.0</v>
      </c>
      <c r="B67" s="20">
        <v>2.0</v>
      </c>
      <c r="C67" s="18" t="s">
        <v>14</v>
      </c>
      <c r="D67" s="18" t="s">
        <v>73</v>
      </c>
      <c r="E67" s="5">
        <v>10.727</v>
      </c>
      <c r="F67" s="5">
        <v>3.207</v>
      </c>
      <c r="G67" s="5">
        <v>10.898</v>
      </c>
      <c r="H67" s="5">
        <f t="shared" si="1"/>
        <v>13.934</v>
      </c>
      <c r="I67" s="19">
        <f t="shared" si="2"/>
        <v>21.78843118</v>
      </c>
      <c r="J67" s="19">
        <f t="shared" si="3"/>
        <v>1775.438596</v>
      </c>
    </row>
    <row r="68">
      <c r="A68" s="18">
        <v>34.0</v>
      </c>
      <c r="B68" s="20">
        <v>1.0</v>
      </c>
      <c r="C68" s="18" t="s">
        <v>14</v>
      </c>
      <c r="D68" s="18" t="s">
        <v>74</v>
      </c>
      <c r="E68" s="5">
        <v>7.867</v>
      </c>
      <c r="F68" s="5">
        <v>3.276</v>
      </c>
      <c r="G68" s="18">
        <v>8.054</v>
      </c>
      <c r="H68" s="5">
        <f t="shared" si="1"/>
        <v>11.143</v>
      </c>
      <c r="I68" s="19">
        <f t="shared" si="2"/>
        <v>27.72143947</v>
      </c>
      <c r="J68" s="19">
        <f t="shared" si="3"/>
        <v>1651.871658</v>
      </c>
    </row>
    <row r="69">
      <c r="A69" s="20">
        <v>34.0</v>
      </c>
      <c r="B69" s="20">
        <v>2.0</v>
      </c>
      <c r="C69" s="18" t="s">
        <v>14</v>
      </c>
      <c r="D69" s="18" t="s">
        <v>75</v>
      </c>
      <c r="E69" s="5">
        <v>7.115</v>
      </c>
      <c r="F69" s="5">
        <v>3.242</v>
      </c>
      <c r="G69" s="17">
        <v>8.121</v>
      </c>
      <c r="H69" s="5">
        <f t="shared" si="1"/>
        <v>10.357</v>
      </c>
      <c r="I69" s="19">
        <f t="shared" si="2"/>
        <v>21.5892633</v>
      </c>
      <c r="J69" s="19">
        <f t="shared" si="3"/>
        <v>222.2664016</v>
      </c>
    </row>
    <row r="70">
      <c r="A70" s="18">
        <v>35.0</v>
      </c>
      <c r="B70" s="20">
        <v>1.0</v>
      </c>
      <c r="C70" s="18" t="s">
        <v>14</v>
      </c>
      <c r="D70" s="18" t="s">
        <v>76</v>
      </c>
      <c r="E70" s="5">
        <v>10.402</v>
      </c>
      <c r="F70" s="5">
        <v>3.25</v>
      </c>
      <c r="G70" s="5">
        <v>10.571</v>
      </c>
      <c r="H70" s="5">
        <f t="shared" si="1"/>
        <v>13.652</v>
      </c>
      <c r="I70" s="19">
        <f t="shared" si="2"/>
        <v>22.56812189</v>
      </c>
      <c r="J70" s="19">
        <f t="shared" si="3"/>
        <v>1823.076923</v>
      </c>
    </row>
    <row r="71">
      <c r="A71" s="20">
        <v>35.0</v>
      </c>
      <c r="B71" s="20">
        <v>2.0</v>
      </c>
      <c r="C71" s="18" t="s">
        <v>14</v>
      </c>
      <c r="D71" s="18" t="s">
        <v>77</v>
      </c>
      <c r="E71" s="5">
        <v>7.432</v>
      </c>
      <c r="F71" s="5">
        <v>3.26</v>
      </c>
      <c r="G71" s="5">
        <v>7.604</v>
      </c>
      <c r="H71" s="5">
        <f t="shared" si="1"/>
        <v>10.692</v>
      </c>
      <c r="I71" s="19">
        <f t="shared" si="2"/>
        <v>28.88140666</v>
      </c>
      <c r="J71" s="19">
        <f t="shared" si="3"/>
        <v>1795.348837</v>
      </c>
    </row>
    <row r="72">
      <c r="A72" s="18">
        <v>36.0</v>
      </c>
      <c r="B72" s="20">
        <v>1.0</v>
      </c>
      <c r="C72" s="18" t="s">
        <v>14</v>
      </c>
      <c r="D72" s="18" t="s">
        <v>78</v>
      </c>
      <c r="E72" s="5">
        <v>7.37</v>
      </c>
      <c r="F72" s="5">
        <v>3.214</v>
      </c>
      <c r="G72" s="5">
        <v>7.561</v>
      </c>
      <c r="H72" s="5">
        <f t="shared" si="1"/>
        <v>10.584</v>
      </c>
      <c r="I72" s="19">
        <f t="shared" si="2"/>
        <v>28.56198035</v>
      </c>
      <c r="J72" s="19">
        <f t="shared" si="3"/>
        <v>1582.722513</v>
      </c>
    </row>
    <row r="73">
      <c r="A73" s="20">
        <v>36.0</v>
      </c>
      <c r="B73" s="20">
        <v>2.0</v>
      </c>
      <c r="C73" s="18" t="s">
        <v>14</v>
      </c>
      <c r="D73" s="18" t="s">
        <v>79</v>
      </c>
      <c r="E73" s="5">
        <v>7.241</v>
      </c>
      <c r="F73" s="5">
        <v>3.295</v>
      </c>
      <c r="G73" s="5">
        <v>7.436</v>
      </c>
      <c r="H73" s="5">
        <f t="shared" si="1"/>
        <v>10.536</v>
      </c>
      <c r="I73" s="19">
        <f t="shared" si="2"/>
        <v>29.4229309</v>
      </c>
      <c r="J73" s="19">
        <f t="shared" si="3"/>
        <v>1589.74359</v>
      </c>
    </row>
    <row r="74">
      <c r="A74" s="18">
        <v>37.0</v>
      </c>
      <c r="B74" s="18">
        <v>1.0</v>
      </c>
      <c r="C74" s="18" t="s">
        <v>14</v>
      </c>
      <c r="D74" s="18" t="s">
        <v>80</v>
      </c>
      <c r="E74" s="5">
        <v>10.939</v>
      </c>
      <c r="F74" s="5">
        <v>3.312</v>
      </c>
      <c r="G74" s="5">
        <v>11.126</v>
      </c>
      <c r="H74" s="5">
        <f t="shared" si="1"/>
        <v>14.251</v>
      </c>
      <c r="I74" s="19">
        <f t="shared" si="2"/>
        <v>21.92828573</v>
      </c>
      <c r="J74" s="19">
        <f t="shared" si="3"/>
        <v>1671.122995</v>
      </c>
    </row>
    <row r="75">
      <c r="A75" s="20">
        <v>37.0</v>
      </c>
      <c r="B75" s="20">
        <v>2.0</v>
      </c>
      <c r="C75" s="18" t="s">
        <v>14</v>
      </c>
      <c r="D75" s="18" t="s">
        <v>81</v>
      </c>
      <c r="E75" s="5">
        <v>7.403</v>
      </c>
      <c r="F75" s="5">
        <v>3.222</v>
      </c>
      <c r="G75" s="5">
        <v>7.609</v>
      </c>
      <c r="H75" s="5">
        <f t="shared" si="1"/>
        <v>10.625</v>
      </c>
      <c r="I75" s="19">
        <f t="shared" si="2"/>
        <v>28.38588235</v>
      </c>
      <c r="J75" s="19">
        <f t="shared" si="3"/>
        <v>1464.07767</v>
      </c>
    </row>
    <row r="76">
      <c r="A76" s="18">
        <v>38.0</v>
      </c>
      <c r="B76" s="18">
        <v>1.0</v>
      </c>
      <c r="C76" s="18" t="s">
        <v>14</v>
      </c>
      <c r="D76" s="18" t="s">
        <v>82</v>
      </c>
      <c r="E76" s="5">
        <v>11.063</v>
      </c>
      <c r="F76" s="5">
        <v>3.227</v>
      </c>
      <c r="G76" s="5">
        <v>11.245</v>
      </c>
      <c r="H76" s="5">
        <f t="shared" si="1"/>
        <v>14.29</v>
      </c>
      <c r="I76" s="19">
        <f t="shared" si="2"/>
        <v>21.30860742</v>
      </c>
      <c r="J76" s="19">
        <f t="shared" si="3"/>
        <v>1673.076923</v>
      </c>
    </row>
    <row r="77">
      <c r="A77" s="20">
        <v>38.0</v>
      </c>
      <c r="B77" s="20">
        <v>2.0</v>
      </c>
      <c r="C77" s="18" t="s">
        <v>14</v>
      </c>
      <c r="D77" s="18" t="s">
        <v>83</v>
      </c>
      <c r="E77" s="5">
        <v>6.7</v>
      </c>
      <c r="F77" s="5">
        <v>3.273</v>
      </c>
      <c r="G77" s="5">
        <v>6.882</v>
      </c>
      <c r="H77" s="5">
        <f t="shared" si="1"/>
        <v>9.973</v>
      </c>
      <c r="I77" s="19">
        <f t="shared" si="2"/>
        <v>30.99368294</v>
      </c>
      <c r="J77" s="19">
        <f t="shared" si="3"/>
        <v>1698.351648</v>
      </c>
    </row>
    <row r="78">
      <c r="A78" s="18">
        <v>39.0</v>
      </c>
      <c r="B78" s="18">
        <v>1.0</v>
      </c>
      <c r="C78" s="18" t="s">
        <v>14</v>
      </c>
      <c r="D78" s="18" t="s">
        <v>84</v>
      </c>
      <c r="E78" s="5">
        <v>6.947</v>
      </c>
      <c r="F78" s="5">
        <v>3.314</v>
      </c>
      <c r="G78" s="5">
        <v>7.13</v>
      </c>
      <c r="H78" s="5">
        <f t="shared" si="1"/>
        <v>10.261</v>
      </c>
      <c r="I78" s="19">
        <f t="shared" si="2"/>
        <v>30.51359517</v>
      </c>
      <c r="J78" s="19">
        <f t="shared" si="3"/>
        <v>1710.928962</v>
      </c>
    </row>
    <row r="79">
      <c r="A79" s="20">
        <v>39.0</v>
      </c>
      <c r="B79" s="20">
        <v>2.0</v>
      </c>
      <c r="C79" s="18" t="s">
        <v>14</v>
      </c>
      <c r="D79" s="18" t="s">
        <v>85</v>
      </c>
      <c r="E79" s="5">
        <v>7.682</v>
      </c>
      <c r="F79" s="5">
        <v>3.29</v>
      </c>
      <c r="G79" s="5">
        <v>7.868</v>
      </c>
      <c r="H79" s="5">
        <f t="shared" si="1"/>
        <v>10.972</v>
      </c>
      <c r="I79" s="19">
        <f t="shared" si="2"/>
        <v>28.29019322</v>
      </c>
      <c r="J79" s="19">
        <f t="shared" si="3"/>
        <v>1668.817204</v>
      </c>
    </row>
    <row r="80">
      <c r="A80" s="18">
        <v>40.0</v>
      </c>
      <c r="B80" s="18">
        <v>1.0</v>
      </c>
      <c r="C80" s="18" t="s">
        <v>14</v>
      </c>
      <c r="D80" s="18" t="s">
        <v>86</v>
      </c>
      <c r="E80" s="5">
        <v>11.214</v>
      </c>
      <c r="F80" s="5">
        <v>3.265</v>
      </c>
      <c r="G80" s="5">
        <v>11.384</v>
      </c>
      <c r="H80" s="5">
        <f t="shared" si="1"/>
        <v>14.479</v>
      </c>
      <c r="I80" s="19">
        <f t="shared" si="2"/>
        <v>21.37578562</v>
      </c>
      <c r="J80" s="19">
        <f t="shared" si="3"/>
        <v>1820.588235</v>
      </c>
    </row>
    <row r="81">
      <c r="A81" s="20">
        <v>40.0</v>
      </c>
      <c r="B81" s="20">
        <v>2.0</v>
      </c>
      <c r="C81" s="18" t="s">
        <v>14</v>
      </c>
      <c r="D81" s="18" t="s">
        <v>87</v>
      </c>
      <c r="E81" s="5">
        <v>9.853</v>
      </c>
      <c r="F81" s="5">
        <v>3.306</v>
      </c>
      <c r="G81" s="5">
        <v>10.027</v>
      </c>
      <c r="H81" s="5">
        <f t="shared" si="1"/>
        <v>13.159</v>
      </c>
      <c r="I81" s="19">
        <f t="shared" si="2"/>
        <v>23.8012007</v>
      </c>
      <c r="J81" s="19">
        <f t="shared" si="3"/>
        <v>1800</v>
      </c>
    </row>
    <row r="82">
      <c r="A82" s="18">
        <v>41.0</v>
      </c>
      <c r="B82" s="18">
        <v>1.0</v>
      </c>
      <c r="C82" s="18" t="s">
        <v>14</v>
      </c>
      <c r="D82" s="18" t="s">
        <v>88</v>
      </c>
      <c r="E82" s="5">
        <v>6.61</v>
      </c>
      <c r="F82" s="5">
        <v>3.259</v>
      </c>
      <c r="G82" s="5">
        <v>6.795</v>
      </c>
      <c r="H82" s="5">
        <f t="shared" si="1"/>
        <v>9.869</v>
      </c>
      <c r="I82" s="19">
        <f t="shared" si="2"/>
        <v>31.14803932</v>
      </c>
      <c r="J82" s="19">
        <f t="shared" si="3"/>
        <v>1661.621622</v>
      </c>
    </row>
    <row r="83">
      <c r="A83" s="20">
        <v>41.0</v>
      </c>
      <c r="B83" s="20">
        <v>2.0</v>
      </c>
      <c r="C83" s="18" t="s">
        <v>14</v>
      </c>
      <c r="D83" s="18" t="s">
        <v>89</v>
      </c>
      <c r="E83" s="5">
        <v>6.576</v>
      </c>
      <c r="F83" s="5">
        <v>3.146</v>
      </c>
      <c r="G83" s="5">
        <v>6.772</v>
      </c>
      <c r="H83" s="5">
        <f t="shared" si="1"/>
        <v>9.722</v>
      </c>
      <c r="I83" s="19">
        <f t="shared" si="2"/>
        <v>30.34355071</v>
      </c>
      <c r="J83" s="19">
        <f t="shared" si="3"/>
        <v>1505.102041</v>
      </c>
    </row>
    <row r="84">
      <c r="A84" s="18">
        <v>42.0</v>
      </c>
      <c r="B84" s="18">
        <v>1.0</v>
      </c>
      <c r="C84" s="18" t="s">
        <v>14</v>
      </c>
      <c r="D84" s="18" t="s">
        <v>90</v>
      </c>
      <c r="E84" s="5">
        <v>7.414</v>
      </c>
      <c r="F84" s="5">
        <v>3.237</v>
      </c>
      <c r="G84" s="5">
        <v>7.566</v>
      </c>
      <c r="H84" s="5">
        <f t="shared" si="1"/>
        <v>10.651</v>
      </c>
      <c r="I84" s="19">
        <f t="shared" si="2"/>
        <v>28.96441649</v>
      </c>
      <c r="J84" s="19">
        <f t="shared" si="3"/>
        <v>2029.605263</v>
      </c>
    </row>
    <row r="85">
      <c r="A85" s="20">
        <v>42.0</v>
      </c>
      <c r="B85" s="20">
        <v>2.0</v>
      </c>
      <c r="C85" s="18" t="s">
        <v>14</v>
      </c>
      <c r="D85" s="18" t="s">
        <v>91</v>
      </c>
      <c r="E85" s="5">
        <v>6.681</v>
      </c>
      <c r="F85" s="5">
        <v>3.269</v>
      </c>
      <c r="G85" s="5">
        <v>6.852</v>
      </c>
      <c r="H85" s="5">
        <f t="shared" si="1"/>
        <v>9.95</v>
      </c>
      <c r="I85" s="19">
        <f t="shared" si="2"/>
        <v>31.13567839</v>
      </c>
      <c r="J85" s="19">
        <f t="shared" si="3"/>
        <v>1811.695906</v>
      </c>
    </row>
    <row r="86">
      <c r="A86" s="18">
        <v>43.0</v>
      </c>
      <c r="B86" s="18">
        <v>1.0</v>
      </c>
      <c r="C86" s="18" t="s">
        <v>14</v>
      </c>
      <c r="D86" s="18" t="s">
        <v>92</v>
      </c>
      <c r="E86" s="5">
        <v>7.753</v>
      </c>
      <c r="F86" s="5">
        <v>3.241</v>
      </c>
      <c r="G86" s="5">
        <v>7.897</v>
      </c>
      <c r="H86" s="5">
        <f t="shared" si="1"/>
        <v>10.994</v>
      </c>
      <c r="I86" s="19">
        <f t="shared" si="2"/>
        <v>28.16991086</v>
      </c>
      <c r="J86" s="19">
        <f t="shared" si="3"/>
        <v>2150.694444</v>
      </c>
    </row>
    <row r="87">
      <c r="A87" s="20">
        <v>43.0</v>
      </c>
      <c r="B87" s="20">
        <v>2.0</v>
      </c>
      <c r="C87" s="18" t="s">
        <v>14</v>
      </c>
      <c r="D87" s="18" t="s">
        <v>93</v>
      </c>
      <c r="E87" s="5">
        <v>11.402</v>
      </c>
      <c r="F87" s="5">
        <v>3.22</v>
      </c>
      <c r="G87" s="5">
        <v>11.566</v>
      </c>
      <c r="H87" s="5">
        <f t="shared" si="1"/>
        <v>14.622</v>
      </c>
      <c r="I87" s="19">
        <f t="shared" si="2"/>
        <v>20.90001368</v>
      </c>
      <c r="J87" s="19">
        <f t="shared" si="3"/>
        <v>1863.414634</v>
      </c>
    </row>
    <row r="88">
      <c r="A88" s="18">
        <v>44.0</v>
      </c>
      <c r="B88" s="18">
        <v>1.0</v>
      </c>
      <c r="C88" s="18" t="s">
        <v>14</v>
      </c>
      <c r="D88" s="18" t="s">
        <v>94</v>
      </c>
      <c r="E88" s="5">
        <v>10.856</v>
      </c>
      <c r="F88" s="5">
        <v>3.212</v>
      </c>
      <c r="G88" s="5">
        <v>11.024</v>
      </c>
      <c r="H88" s="5">
        <f t="shared" si="1"/>
        <v>14.068</v>
      </c>
      <c r="I88" s="19">
        <f t="shared" si="2"/>
        <v>21.63775945</v>
      </c>
      <c r="J88" s="19">
        <f t="shared" si="3"/>
        <v>1811.904762</v>
      </c>
    </row>
    <row r="89">
      <c r="A89" s="20">
        <v>44.0</v>
      </c>
      <c r="B89" s="20">
        <v>2.0</v>
      </c>
      <c r="C89" s="18" t="s">
        <v>14</v>
      </c>
      <c r="D89" s="18" t="s">
        <v>95</v>
      </c>
      <c r="E89" s="5">
        <v>9.629</v>
      </c>
      <c r="F89" s="5">
        <v>3.322</v>
      </c>
      <c r="G89" s="5">
        <v>9.815</v>
      </c>
      <c r="H89" s="5">
        <f t="shared" si="1"/>
        <v>12.951</v>
      </c>
      <c r="I89" s="19">
        <f t="shared" si="2"/>
        <v>24.21434638</v>
      </c>
      <c r="J89" s="19">
        <f t="shared" si="3"/>
        <v>1686.021505</v>
      </c>
    </row>
    <row r="90">
      <c r="A90" s="18">
        <v>45.0</v>
      </c>
      <c r="B90" s="20">
        <v>1.0</v>
      </c>
      <c r="C90" s="18" t="s">
        <v>15</v>
      </c>
      <c r="D90" s="18" t="s">
        <v>96</v>
      </c>
      <c r="E90" s="5">
        <v>6.444</v>
      </c>
      <c r="F90" s="5">
        <v>3.33</v>
      </c>
      <c r="G90" s="5">
        <v>6.606</v>
      </c>
      <c r="H90" s="5">
        <f t="shared" si="1"/>
        <v>9.774</v>
      </c>
      <c r="I90" s="19">
        <f t="shared" si="2"/>
        <v>32.41252302</v>
      </c>
      <c r="J90" s="19">
        <f t="shared" si="3"/>
        <v>1955.555556</v>
      </c>
    </row>
    <row r="91">
      <c r="A91" s="20">
        <v>45.0</v>
      </c>
      <c r="B91" s="20">
        <v>2.0</v>
      </c>
      <c r="C91" s="18" t="s">
        <v>15</v>
      </c>
      <c r="D91" s="18" t="s">
        <v>97</v>
      </c>
      <c r="E91" s="5">
        <v>6.86</v>
      </c>
      <c r="F91" s="5">
        <v>3.385</v>
      </c>
      <c r="G91" s="5">
        <v>7.022</v>
      </c>
      <c r="H91" s="5">
        <f t="shared" si="1"/>
        <v>10.245</v>
      </c>
      <c r="I91" s="19">
        <f t="shared" si="2"/>
        <v>31.45924841</v>
      </c>
      <c r="J91" s="19">
        <f t="shared" si="3"/>
        <v>1989.506173</v>
      </c>
    </row>
    <row r="92">
      <c r="A92" s="18">
        <v>46.0</v>
      </c>
      <c r="B92" s="20">
        <v>1.0</v>
      </c>
      <c r="C92" s="18" t="s">
        <v>15</v>
      </c>
      <c r="D92" s="18" t="s">
        <v>98</v>
      </c>
      <c r="E92" s="5">
        <v>11.607</v>
      </c>
      <c r="F92" s="5">
        <v>3.271</v>
      </c>
      <c r="G92" s="5">
        <v>11.757</v>
      </c>
      <c r="H92" s="5">
        <f t="shared" si="1"/>
        <v>14.878</v>
      </c>
      <c r="I92" s="19">
        <f t="shared" si="2"/>
        <v>20.97728189</v>
      </c>
      <c r="J92" s="19">
        <f t="shared" si="3"/>
        <v>2080.666667</v>
      </c>
    </row>
    <row r="93">
      <c r="A93" s="20">
        <v>46.0</v>
      </c>
      <c r="B93" s="20">
        <v>2.0</v>
      </c>
      <c r="C93" s="18" t="s">
        <v>15</v>
      </c>
      <c r="D93" s="18" t="s">
        <v>99</v>
      </c>
      <c r="E93" s="5">
        <v>10.294</v>
      </c>
      <c r="F93" s="5">
        <v>3.302</v>
      </c>
      <c r="G93" s="5">
        <v>10.448</v>
      </c>
      <c r="H93" s="5">
        <f t="shared" si="1"/>
        <v>13.596</v>
      </c>
      <c r="I93" s="19">
        <f t="shared" si="2"/>
        <v>23.15386878</v>
      </c>
      <c r="J93" s="19">
        <f t="shared" si="3"/>
        <v>2044.155844</v>
      </c>
    </row>
    <row r="94">
      <c r="A94" s="18">
        <v>47.0</v>
      </c>
      <c r="B94" s="20">
        <v>1.0</v>
      </c>
      <c r="C94" s="18" t="s">
        <v>15</v>
      </c>
      <c r="D94" s="18" t="s">
        <v>100</v>
      </c>
      <c r="E94" s="5">
        <v>6.913</v>
      </c>
      <c r="F94" s="5">
        <v>3.376</v>
      </c>
      <c r="G94" s="5">
        <v>7.092</v>
      </c>
      <c r="H94" s="5">
        <f t="shared" si="1"/>
        <v>10.289</v>
      </c>
      <c r="I94" s="19">
        <f t="shared" si="2"/>
        <v>31.07201866</v>
      </c>
      <c r="J94" s="19">
        <f t="shared" si="3"/>
        <v>1786.03352</v>
      </c>
    </row>
    <row r="95">
      <c r="A95" s="20">
        <v>47.0</v>
      </c>
      <c r="B95" s="20">
        <v>2.0</v>
      </c>
      <c r="C95" s="18" t="s">
        <v>15</v>
      </c>
      <c r="D95" s="18" t="s">
        <v>101</v>
      </c>
      <c r="E95" s="5">
        <v>6.859</v>
      </c>
      <c r="F95" s="5">
        <v>3.244</v>
      </c>
      <c r="G95" s="5">
        <v>7.037</v>
      </c>
      <c r="H95" s="5">
        <f t="shared" si="1"/>
        <v>10.103</v>
      </c>
      <c r="I95" s="19">
        <f t="shared" si="2"/>
        <v>30.34742156</v>
      </c>
      <c r="J95" s="19">
        <f t="shared" si="3"/>
        <v>1722.47191</v>
      </c>
    </row>
    <row r="96">
      <c r="A96" s="18">
        <v>48.0</v>
      </c>
      <c r="B96" s="18">
        <v>1.0</v>
      </c>
      <c r="C96" s="18" t="s">
        <v>15</v>
      </c>
      <c r="D96" s="18" t="s">
        <v>102</v>
      </c>
      <c r="E96" s="5">
        <v>7.577</v>
      </c>
      <c r="F96" s="5">
        <v>3.154</v>
      </c>
      <c r="G96" s="5">
        <v>7.734</v>
      </c>
      <c r="H96" s="5">
        <f t="shared" si="1"/>
        <v>10.731</v>
      </c>
      <c r="I96" s="19">
        <f t="shared" si="2"/>
        <v>27.92843165</v>
      </c>
      <c r="J96" s="19">
        <f t="shared" si="3"/>
        <v>1908.917197</v>
      </c>
    </row>
    <row r="97">
      <c r="A97" s="20">
        <v>48.0</v>
      </c>
      <c r="B97" s="20">
        <v>2.0</v>
      </c>
      <c r="C97" s="18" t="s">
        <v>15</v>
      </c>
      <c r="D97" s="18" t="s">
        <v>103</v>
      </c>
      <c r="E97" s="5">
        <v>10.662</v>
      </c>
      <c r="F97" s="5">
        <v>3.175</v>
      </c>
      <c r="G97" s="5">
        <v>10.817</v>
      </c>
      <c r="H97" s="5">
        <f t="shared" si="1"/>
        <v>13.837</v>
      </c>
      <c r="I97" s="19">
        <f t="shared" si="2"/>
        <v>21.82554022</v>
      </c>
      <c r="J97" s="19">
        <f t="shared" si="3"/>
        <v>1948.387097</v>
      </c>
    </row>
    <row r="98">
      <c r="A98" s="18">
        <v>49.0</v>
      </c>
      <c r="B98" s="18">
        <v>1.0</v>
      </c>
      <c r="C98" s="18" t="s">
        <v>15</v>
      </c>
      <c r="D98" s="18" t="s">
        <v>104</v>
      </c>
      <c r="E98" s="5">
        <v>11.133</v>
      </c>
      <c r="F98" s="5">
        <v>3.238</v>
      </c>
      <c r="G98" s="5">
        <v>11.333</v>
      </c>
      <c r="H98" s="5">
        <f t="shared" si="1"/>
        <v>14.371</v>
      </c>
      <c r="I98" s="19">
        <f t="shared" si="2"/>
        <v>21.13979542</v>
      </c>
      <c r="J98" s="19">
        <f t="shared" si="3"/>
        <v>1519</v>
      </c>
    </row>
    <row r="99">
      <c r="A99" s="20">
        <v>49.0</v>
      </c>
      <c r="B99" s="20">
        <v>2.0</v>
      </c>
      <c r="C99" s="18" t="s">
        <v>15</v>
      </c>
      <c r="D99" s="18" t="s">
        <v>105</v>
      </c>
      <c r="E99" s="5">
        <v>6.849</v>
      </c>
      <c r="F99" s="5">
        <v>3.223</v>
      </c>
      <c r="G99" s="5">
        <v>7.04</v>
      </c>
      <c r="H99" s="5">
        <f t="shared" si="1"/>
        <v>10.072</v>
      </c>
      <c r="I99" s="19">
        <f t="shared" si="2"/>
        <v>30.10325655</v>
      </c>
      <c r="J99" s="19">
        <f t="shared" si="3"/>
        <v>1587.434555</v>
      </c>
    </row>
    <row r="100">
      <c r="A100" s="18">
        <v>50.0</v>
      </c>
      <c r="B100" s="18">
        <v>1.0</v>
      </c>
      <c r="C100" s="18" t="s">
        <v>15</v>
      </c>
      <c r="D100" s="18" t="s">
        <v>106</v>
      </c>
      <c r="E100" s="5">
        <v>6.437</v>
      </c>
      <c r="F100" s="5">
        <v>3.335</v>
      </c>
      <c r="G100" s="5">
        <v>6.662</v>
      </c>
      <c r="H100" s="5">
        <f t="shared" si="1"/>
        <v>9.772</v>
      </c>
      <c r="I100" s="19">
        <f t="shared" si="2"/>
        <v>31.82562423</v>
      </c>
      <c r="J100" s="19">
        <f t="shared" si="3"/>
        <v>1382.222222</v>
      </c>
    </row>
    <row r="101">
      <c r="A101" s="20">
        <v>50.0</v>
      </c>
      <c r="B101" s="20">
        <v>2.0</v>
      </c>
      <c r="C101" s="18" t="s">
        <v>15</v>
      </c>
      <c r="D101" s="18" t="s">
        <v>107</v>
      </c>
      <c r="E101" s="5">
        <v>7.384</v>
      </c>
      <c r="F101" s="5">
        <v>3.107</v>
      </c>
      <c r="G101" s="5">
        <v>7.56</v>
      </c>
      <c r="H101" s="5">
        <f t="shared" si="1"/>
        <v>10.491</v>
      </c>
      <c r="I101" s="19">
        <f t="shared" si="2"/>
        <v>27.93823277</v>
      </c>
      <c r="J101" s="19">
        <f t="shared" si="3"/>
        <v>1665.340909</v>
      </c>
    </row>
    <row r="102">
      <c r="A102" s="18">
        <v>51.0</v>
      </c>
      <c r="B102" s="18">
        <v>1.0</v>
      </c>
      <c r="C102" s="18" t="s">
        <v>15</v>
      </c>
      <c r="D102" s="18" t="s">
        <v>108</v>
      </c>
      <c r="E102" s="5">
        <v>7.535</v>
      </c>
      <c r="F102" s="5">
        <v>3.058</v>
      </c>
      <c r="G102" s="5">
        <v>7.685</v>
      </c>
      <c r="H102" s="5">
        <f t="shared" si="1"/>
        <v>10.593</v>
      </c>
      <c r="I102" s="19">
        <f t="shared" si="2"/>
        <v>27.452091</v>
      </c>
      <c r="J102" s="19">
        <f t="shared" si="3"/>
        <v>1938.666667</v>
      </c>
    </row>
    <row r="103">
      <c r="A103" s="20">
        <v>51.0</v>
      </c>
      <c r="B103" s="20">
        <v>2.0</v>
      </c>
      <c r="C103" s="18" t="s">
        <v>15</v>
      </c>
      <c r="D103" s="18" t="s">
        <v>109</v>
      </c>
      <c r="E103" s="5">
        <v>10.431</v>
      </c>
      <c r="F103" s="5">
        <v>3.001</v>
      </c>
      <c r="G103" s="5">
        <v>10.577</v>
      </c>
      <c r="H103" s="5">
        <f t="shared" si="1"/>
        <v>13.432</v>
      </c>
      <c r="I103" s="19">
        <f t="shared" si="2"/>
        <v>21.25521144</v>
      </c>
      <c r="J103" s="19">
        <f t="shared" si="3"/>
        <v>1955.479452</v>
      </c>
    </row>
    <row r="104">
      <c r="A104" s="18">
        <v>52.0</v>
      </c>
      <c r="B104" s="18">
        <v>1.0</v>
      </c>
      <c r="C104" s="18" t="s">
        <v>15</v>
      </c>
      <c r="D104" s="18" t="s">
        <v>110</v>
      </c>
      <c r="E104" s="5">
        <v>7.378</v>
      </c>
      <c r="F104" s="5">
        <v>3.024</v>
      </c>
      <c r="G104" s="5">
        <v>7.512</v>
      </c>
      <c r="H104" s="5">
        <f t="shared" si="1"/>
        <v>10.402</v>
      </c>
      <c r="I104" s="19">
        <f t="shared" si="2"/>
        <v>27.78311863</v>
      </c>
      <c r="J104" s="19">
        <f t="shared" si="3"/>
        <v>2156.716418</v>
      </c>
    </row>
    <row r="105">
      <c r="A105" s="20">
        <v>52.0</v>
      </c>
      <c r="B105" s="20">
        <v>2.0</v>
      </c>
      <c r="C105" s="18" t="s">
        <v>15</v>
      </c>
      <c r="D105" s="18" t="s">
        <v>111</v>
      </c>
      <c r="E105" s="5">
        <v>7.57</v>
      </c>
      <c r="F105" s="5">
        <v>3.064</v>
      </c>
      <c r="G105" s="5">
        <v>7.691</v>
      </c>
      <c r="H105" s="5">
        <f t="shared" si="1"/>
        <v>10.634</v>
      </c>
      <c r="I105" s="19">
        <f t="shared" si="2"/>
        <v>27.67538085</v>
      </c>
      <c r="J105" s="19">
        <f t="shared" si="3"/>
        <v>2432.231405</v>
      </c>
    </row>
    <row r="106">
      <c r="A106" s="18">
        <v>53.0</v>
      </c>
      <c r="B106" s="18">
        <v>1.0</v>
      </c>
      <c r="C106" s="18" t="s">
        <v>15</v>
      </c>
      <c r="D106" s="18" t="s">
        <v>112</v>
      </c>
      <c r="E106" s="5">
        <v>6.56</v>
      </c>
      <c r="F106" s="5">
        <v>3.012</v>
      </c>
      <c r="G106" s="5">
        <v>6.7</v>
      </c>
      <c r="H106" s="5">
        <f t="shared" si="1"/>
        <v>9.572</v>
      </c>
      <c r="I106" s="19">
        <f t="shared" si="2"/>
        <v>30.00417885</v>
      </c>
      <c r="J106" s="19">
        <f t="shared" si="3"/>
        <v>2051.428571</v>
      </c>
    </row>
    <row r="107">
      <c r="A107" s="20">
        <v>53.0</v>
      </c>
      <c r="B107" s="20">
        <v>2.0</v>
      </c>
      <c r="C107" s="18" t="s">
        <v>15</v>
      </c>
      <c r="D107" s="18" t="s">
        <v>113</v>
      </c>
      <c r="E107" s="5">
        <v>7.121</v>
      </c>
      <c r="F107" s="5">
        <v>3.058</v>
      </c>
      <c r="G107" s="5">
        <v>7.27</v>
      </c>
      <c r="H107" s="5">
        <f t="shared" si="1"/>
        <v>10.179</v>
      </c>
      <c r="I107" s="19">
        <f t="shared" si="2"/>
        <v>28.57844582</v>
      </c>
      <c r="J107" s="19">
        <f t="shared" si="3"/>
        <v>1952.348993</v>
      </c>
    </row>
    <row r="108">
      <c r="A108" s="18">
        <v>54.0</v>
      </c>
      <c r="B108" s="18">
        <v>1.0</v>
      </c>
      <c r="C108" s="18" t="s">
        <v>15</v>
      </c>
      <c r="D108" s="18" t="s">
        <v>114</v>
      </c>
      <c r="E108" s="5">
        <v>11.179</v>
      </c>
      <c r="F108" s="5">
        <v>3.035</v>
      </c>
      <c r="G108" s="5">
        <v>11.341</v>
      </c>
      <c r="H108" s="5">
        <f t="shared" si="1"/>
        <v>14.214</v>
      </c>
      <c r="I108" s="19">
        <f t="shared" si="2"/>
        <v>20.21246658</v>
      </c>
      <c r="J108" s="19">
        <f t="shared" si="3"/>
        <v>1773.45679</v>
      </c>
    </row>
    <row r="109">
      <c r="A109" s="20">
        <v>54.0</v>
      </c>
      <c r="B109" s="20">
        <v>2.0</v>
      </c>
      <c r="C109" s="18" t="s">
        <v>15</v>
      </c>
      <c r="D109" s="18" t="s">
        <v>115</v>
      </c>
      <c r="E109" s="5">
        <v>6.654</v>
      </c>
      <c r="F109" s="5">
        <v>3.066</v>
      </c>
      <c r="G109" s="5">
        <v>6.815</v>
      </c>
      <c r="H109" s="5">
        <f t="shared" si="1"/>
        <v>9.72</v>
      </c>
      <c r="I109" s="19">
        <f t="shared" si="2"/>
        <v>29.88683128</v>
      </c>
      <c r="J109" s="19">
        <f t="shared" si="3"/>
        <v>1804.347826</v>
      </c>
    </row>
    <row r="110">
      <c r="A110" s="18">
        <v>55.0</v>
      </c>
      <c r="B110" s="18">
        <v>1.0</v>
      </c>
      <c r="C110" s="18" t="s">
        <v>15</v>
      </c>
      <c r="D110" s="18" t="s">
        <v>116</v>
      </c>
      <c r="E110" s="5">
        <v>7.414</v>
      </c>
      <c r="F110" s="5">
        <v>3.021</v>
      </c>
      <c r="G110" s="5">
        <v>7.567</v>
      </c>
      <c r="H110" s="5">
        <f t="shared" si="1"/>
        <v>10.435</v>
      </c>
      <c r="I110" s="19">
        <f t="shared" si="2"/>
        <v>27.48442741</v>
      </c>
      <c r="J110" s="19">
        <f t="shared" si="3"/>
        <v>1874.509804</v>
      </c>
    </row>
    <row r="111">
      <c r="A111" s="22">
        <v>55.0</v>
      </c>
      <c r="B111" s="20">
        <v>2.0</v>
      </c>
      <c r="C111" s="18" t="s">
        <v>15</v>
      </c>
      <c r="D111" s="18" t="s">
        <v>117</v>
      </c>
      <c r="E111" s="5">
        <v>7.681</v>
      </c>
      <c r="F111" s="5">
        <v>3.04</v>
      </c>
      <c r="G111" s="5">
        <v>7.816</v>
      </c>
      <c r="H111" s="5">
        <f t="shared" si="1"/>
        <v>10.721</v>
      </c>
      <c r="I111" s="19">
        <f t="shared" si="2"/>
        <v>27.09635295</v>
      </c>
      <c r="J111" s="19">
        <f t="shared" si="3"/>
        <v>2151.851852</v>
      </c>
    </row>
    <row r="112">
      <c r="A112" s="18">
        <v>56.0</v>
      </c>
      <c r="B112" s="20">
        <v>1.0</v>
      </c>
      <c r="C112" s="18" t="s">
        <v>15</v>
      </c>
      <c r="D112" s="18" t="s">
        <v>118</v>
      </c>
      <c r="E112" s="5">
        <v>7.451</v>
      </c>
      <c r="F112" s="5">
        <v>3.039</v>
      </c>
      <c r="G112" s="5">
        <v>7.628</v>
      </c>
      <c r="H112" s="5">
        <f t="shared" si="1"/>
        <v>10.49</v>
      </c>
      <c r="I112" s="19">
        <f t="shared" si="2"/>
        <v>27.28312679</v>
      </c>
      <c r="J112" s="19">
        <f t="shared" si="3"/>
        <v>1616.949153</v>
      </c>
    </row>
    <row r="113">
      <c r="A113" s="20">
        <v>56.0</v>
      </c>
      <c r="B113" s="20">
        <v>2.0</v>
      </c>
      <c r="C113" s="18" t="s">
        <v>15</v>
      </c>
      <c r="D113" s="18" t="s">
        <v>119</v>
      </c>
      <c r="E113" s="5">
        <v>10.432</v>
      </c>
      <c r="F113" s="5">
        <v>3.055</v>
      </c>
      <c r="G113" s="5">
        <v>10.608</v>
      </c>
      <c r="H113" s="5">
        <f t="shared" si="1"/>
        <v>13.487</v>
      </c>
      <c r="I113" s="19">
        <f t="shared" si="2"/>
        <v>21.3464818</v>
      </c>
      <c r="J113" s="19">
        <f t="shared" si="3"/>
        <v>1635.795455</v>
      </c>
    </row>
    <row r="114">
      <c r="A114" s="18">
        <v>57.0</v>
      </c>
      <c r="B114" s="20">
        <v>1.0</v>
      </c>
      <c r="C114" s="18" t="s">
        <v>15</v>
      </c>
      <c r="D114" s="18" t="s">
        <v>120</v>
      </c>
      <c r="E114" s="5">
        <v>10.599</v>
      </c>
      <c r="F114" s="5">
        <v>3.055</v>
      </c>
      <c r="G114" s="5">
        <v>10.769</v>
      </c>
      <c r="H114" s="5">
        <f t="shared" si="1"/>
        <v>13.654</v>
      </c>
      <c r="I114" s="19">
        <f t="shared" si="2"/>
        <v>21.12933939</v>
      </c>
      <c r="J114" s="19">
        <f t="shared" si="3"/>
        <v>1697.058824</v>
      </c>
    </row>
    <row r="115">
      <c r="A115" s="20">
        <v>57.0</v>
      </c>
      <c r="B115" s="20">
        <v>2.0</v>
      </c>
      <c r="C115" s="18" t="s">
        <v>15</v>
      </c>
      <c r="D115" s="18" t="s">
        <v>121</v>
      </c>
      <c r="E115" s="5">
        <v>10.482</v>
      </c>
      <c r="F115" s="5">
        <v>3.066</v>
      </c>
      <c r="G115" s="5">
        <v>10.639</v>
      </c>
      <c r="H115" s="5">
        <f t="shared" si="1"/>
        <v>13.548</v>
      </c>
      <c r="I115" s="19">
        <f t="shared" si="2"/>
        <v>21.47180396</v>
      </c>
      <c r="J115" s="19">
        <f t="shared" si="3"/>
        <v>1852.866242</v>
      </c>
    </row>
    <row r="116">
      <c r="A116" s="18">
        <v>58.0</v>
      </c>
      <c r="B116" s="20">
        <v>1.0</v>
      </c>
      <c r="C116" s="18" t="s">
        <v>15</v>
      </c>
      <c r="D116" s="18" t="s">
        <v>122</v>
      </c>
      <c r="E116" s="5">
        <v>6.468</v>
      </c>
      <c r="F116" s="5">
        <v>3.047</v>
      </c>
      <c r="G116" s="5">
        <v>6.639</v>
      </c>
      <c r="H116" s="5">
        <f t="shared" si="1"/>
        <v>9.515</v>
      </c>
      <c r="I116" s="19">
        <f t="shared" si="2"/>
        <v>30.22595901</v>
      </c>
      <c r="J116" s="19">
        <f t="shared" si="3"/>
        <v>1681.871345</v>
      </c>
    </row>
    <row r="117">
      <c r="A117" s="20">
        <v>58.0</v>
      </c>
      <c r="B117" s="20">
        <v>2.0</v>
      </c>
      <c r="C117" s="18" t="s">
        <v>15</v>
      </c>
      <c r="D117" s="18" t="s">
        <v>123</v>
      </c>
      <c r="E117" s="5">
        <v>7.777</v>
      </c>
      <c r="F117" s="5">
        <v>3.03</v>
      </c>
      <c r="G117" s="5">
        <v>7.952</v>
      </c>
      <c r="H117" s="5">
        <f t="shared" si="1"/>
        <v>10.807</v>
      </c>
      <c r="I117" s="19">
        <f t="shared" si="2"/>
        <v>26.41806237</v>
      </c>
      <c r="J117" s="19">
        <f t="shared" si="3"/>
        <v>1631.428571</v>
      </c>
    </row>
    <row r="118">
      <c r="A118" s="18">
        <v>59.0</v>
      </c>
      <c r="B118" s="18">
        <v>1.0</v>
      </c>
      <c r="C118" s="18" t="s">
        <v>15</v>
      </c>
      <c r="D118" s="18" t="s">
        <v>124</v>
      </c>
      <c r="E118" s="5">
        <v>7.259</v>
      </c>
      <c r="F118" s="5">
        <v>3.067</v>
      </c>
      <c r="G118" s="5">
        <v>7.45</v>
      </c>
      <c r="H118" s="5">
        <f t="shared" si="1"/>
        <v>10.326</v>
      </c>
      <c r="I118" s="19">
        <f t="shared" si="2"/>
        <v>27.85202402</v>
      </c>
      <c r="J118" s="19">
        <f t="shared" si="3"/>
        <v>1505.759162</v>
      </c>
    </row>
    <row r="119">
      <c r="A119" s="20">
        <v>59.0</v>
      </c>
      <c r="B119" s="20">
        <v>2.0</v>
      </c>
      <c r="C119" s="18" t="s">
        <v>15</v>
      </c>
      <c r="D119" s="18" t="s">
        <v>125</v>
      </c>
      <c r="E119" s="5">
        <v>10.916</v>
      </c>
      <c r="F119" s="5">
        <v>3.069</v>
      </c>
      <c r="G119" s="5">
        <v>11.106</v>
      </c>
      <c r="H119" s="5">
        <f t="shared" si="1"/>
        <v>13.985</v>
      </c>
      <c r="I119" s="19">
        <f t="shared" si="2"/>
        <v>20.58634251</v>
      </c>
      <c r="J119" s="19">
        <f t="shared" si="3"/>
        <v>1515.263158</v>
      </c>
    </row>
    <row r="120">
      <c r="A120" s="18">
        <v>60.0</v>
      </c>
      <c r="B120" s="18">
        <v>1.0</v>
      </c>
      <c r="C120" s="18" t="s">
        <v>15</v>
      </c>
      <c r="D120" s="18" t="s">
        <v>126</v>
      </c>
      <c r="E120" s="5">
        <v>7.81</v>
      </c>
      <c r="F120" s="5">
        <v>3.01</v>
      </c>
      <c r="G120" s="5">
        <v>7.941</v>
      </c>
      <c r="H120" s="5">
        <f t="shared" si="1"/>
        <v>10.82</v>
      </c>
      <c r="I120" s="19">
        <f t="shared" si="2"/>
        <v>26.60813309</v>
      </c>
      <c r="J120" s="19">
        <f t="shared" si="3"/>
        <v>2197.709924</v>
      </c>
    </row>
    <row r="121">
      <c r="A121" s="20">
        <v>60.0</v>
      </c>
      <c r="B121" s="20">
        <v>2.0</v>
      </c>
      <c r="C121" s="18" t="s">
        <v>15</v>
      </c>
      <c r="D121" s="18" t="s">
        <v>127</v>
      </c>
      <c r="E121" s="5">
        <v>9.106</v>
      </c>
      <c r="F121" s="5">
        <v>3.084</v>
      </c>
      <c r="G121" s="5">
        <v>9.232</v>
      </c>
      <c r="H121" s="5">
        <f t="shared" si="1"/>
        <v>12.19</v>
      </c>
      <c r="I121" s="19">
        <f t="shared" si="2"/>
        <v>24.26579163</v>
      </c>
      <c r="J121" s="19">
        <f t="shared" si="3"/>
        <v>2347.619048</v>
      </c>
    </row>
    <row r="122">
      <c r="A122" s="18">
        <v>61.0</v>
      </c>
      <c r="B122" s="18">
        <v>1.0</v>
      </c>
      <c r="C122" s="18" t="s">
        <v>15</v>
      </c>
      <c r="D122" s="18" t="s">
        <v>128</v>
      </c>
      <c r="E122" s="5">
        <v>6.76</v>
      </c>
      <c r="F122" s="5">
        <v>3.14</v>
      </c>
      <c r="G122" s="5">
        <v>6.922</v>
      </c>
      <c r="H122" s="5">
        <f t="shared" si="1"/>
        <v>9.9</v>
      </c>
      <c r="I122" s="19">
        <f t="shared" si="2"/>
        <v>30.08080808</v>
      </c>
      <c r="J122" s="19">
        <f t="shared" si="3"/>
        <v>1838.271605</v>
      </c>
    </row>
    <row r="123">
      <c r="A123" s="20">
        <v>61.0</v>
      </c>
      <c r="B123" s="20">
        <v>2.0</v>
      </c>
      <c r="C123" s="18" t="s">
        <v>15</v>
      </c>
      <c r="D123" s="18" t="s">
        <v>129</v>
      </c>
      <c r="E123" s="5">
        <v>10.541</v>
      </c>
      <c r="F123" s="5">
        <v>3.139</v>
      </c>
      <c r="G123" s="5">
        <v>10.701</v>
      </c>
      <c r="H123" s="5">
        <f t="shared" si="1"/>
        <v>13.68</v>
      </c>
      <c r="I123" s="19">
        <f t="shared" si="2"/>
        <v>21.77631579</v>
      </c>
      <c r="J123" s="19">
        <f t="shared" si="3"/>
        <v>1861.875</v>
      </c>
    </row>
    <row r="124">
      <c r="A124" s="18">
        <v>62.0</v>
      </c>
      <c r="B124" s="18">
        <v>1.0</v>
      </c>
      <c r="C124" s="18" t="s">
        <v>15</v>
      </c>
      <c r="D124" s="18" t="s">
        <v>130</v>
      </c>
      <c r="E124" s="5">
        <v>6.432</v>
      </c>
      <c r="F124" s="5">
        <v>3.192</v>
      </c>
      <c r="G124" s="5">
        <v>6.604</v>
      </c>
      <c r="H124" s="5">
        <f t="shared" si="1"/>
        <v>9.624</v>
      </c>
      <c r="I124" s="19">
        <f t="shared" si="2"/>
        <v>31.37988362</v>
      </c>
      <c r="J124" s="19">
        <f t="shared" si="3"/>
        <v>1755.813953</v>
      </c>
    </row>
    <row r="125">
      <c r="A125" s="20">
        <v>62.0</v>
      </c>
      <c r="B125" s="20">
        <v>2.0</v>
      </c>
      <c r="C125" s="18" t="s">
        <v>15</v>
      </c>
      <c r="D125" s="18" t="s">
        <v>131</v>
      </c>
      <c r="E125" s="5">
        <v>10.146</v>
      </c>
      <c r="F125" s="5">
        <v>3.044</v>
      </c>
      <c r="G125" s="5">
        <v>10.304</v>
      </c>
      <c r="H125" s="5">
        <f t="shared" si="1"/>
        <v>13.19</v>
      </c>
      <c r="I125" s="19">
        <f t="shared" si="2"/>
        <v>21.88021228</v>
      </c>
      <c r="J125" s="19">
        <f t="shared" si="3"/>
        <v>1826.582278</v>
      </c>
    </row>
    <row r="126">
      <c r="A126" s="18">
        <v>63.0</v>
      </c>
      <c r="B126" s="18">
        <v>1.0</v>
      </c>
      <c r="C126" s="18" t="s">
        <v>15</v>
      </c>
      <c r="D126" s="18" t="s">
        <v>132</v>
      </c>
      <c r="E126" s="5">
        <v>11.443</v>
      </c>
      <c r="F126" s="5">
        <v>3.024</v>
      </c>
      <c r="G126" s="5">
        <v>11.618</v>
      </c>
      <c r="H126" s="5">
        <f t="shared" si="1"/>
        <v>14.467</v>
      </c>
      <c r="I126" s="19">
        <f t="shared" si="2"/>
        <v>19.69309463</v>
      </c>
      <c r="J126" s="19">
        <f t="shared" si="3"/>
        <v>1628</v>
      </c>
    </row>
    <row r="127">
      <c r="A127" s="20">
        <v>63.0</v>
      </c>
      <c r="B127" s="20">
        <v>2.0</v>
      </c>
      <c r="C127" s="18" t="s">
        <v>15</v>
      </c>
      <c r="D127" s="18" t="s">
        <v>133</v>
      </c>
      <c r="E127" s="5">
        <v>7.532</v>
      </c>
      <c r="F127" s="5">
        <v>3.037</v>
      </c>
      <c r="G127" s="5">
        <v>7.709</v>
      </c>
      <c r="H127" s="5">
        <f t="shared" si="1"/>
        <v>10.569</v>
      </c>
      <c r="I127" s="19">
        <f t="shared" si="2"/>
        <v>27.0602706</v>
      </c>
      <c r="J127" s="19">
        <f t="shared" si="3"/>
        <v>1615.819209</v>
      </c>
    </row>
    <row r="128">
      <c r="A128" s="18">
        <v>64.0</v>
      </c>
      <c r="B128" s="18">
        <v>1.0</v>
      </c>
      <c r="C128" s="18" t="s">
        <v>15</v>
      </c>
      <c r="D128" s="18" t="s">
        <v>134</v>
      </c>
      <c r="E128" s="5">
        <v>7.386</v>
      </c>
      <c r="F128" s="5">
        <v>3.055</v>
      </c>
      <c r="G128" s="5">
        <v>7.547</v>
      </c>
      <c r="H128" s="5">
        <f t="shared" si="1"/>
        <v>10.441</v>
      </c>
      <c r="I128" s="19">
        <f t="shared" si="2"/>
        <v>27.71765157</v>
      </c>
      <c r="J128" s="19">
        <f t="shared" si="3"/>
        <v>1797.515528</v>
      </c>
    </row>
    <row r="129">
      <c r="A129" s="20">
        <v>64.0</v>
      </c>
      <c r="B129" s="20">
        <v>2.0</v>
      </c>
      <c r="C129" s="18" t="s">
        <v>15</v>
      </c>
      <c r="D129" s="18" t="s">
        <v>135</v>
      </c>
      <c r="E129" s="5">
        <v>10.57</v>
      </c>
      <c r="F129" s="5">
        <v>3.026</v>
      </c>
      <c r="G129" s="5">
        <v>10.722</v>
      </c>
      <c r="H129" s="5">
        <f t="shared" si="1"/>
        <v>13.596</v>
      </c>
      <c r="I129" s="19">
        <f t="shared" si="2"/>
        <v>21.13857017</v>
      </c>
      <c r="J129" s="19">
        <f t="shared" si="3"/>
        <v>1890.789474</v>
      </c>
    </row>
    <row r="130">
      <c r="A130" s="18">
        <v>65.0</v>
      </c>
      <c r="B130" s="18">
        <v>1.0</v>
      </c>
      <c r="C130" s="18" t="s">
        <v>15</v>
      </c>
      <c r="D130" s="18" t="s">
        <v>136</v>
      </c>
      <c r="E130" s="5">
        <v>7.266</v>
      </c>
      <c r="F130" s="5">
        <v>3.035</v>
      </c>
      <c r="G130" s="5">
        <v>7.403</v>
      </c>
      <c r="H130" s="5">
        <f t="shared" si="1"/>
        <v>10.301</v>
      </c>
      <c r="I130" s="19">
        <f t="shared" si="2"/>
        <v>28.13319095</v>
      </c>
      <c r="J130" s="19">
        <f t="shared" si="3"/>
        <v>2115.328467</v>
      </c>
    </row>
    <row r="131">
      <c r="A131" s="20">
        <v>65.0</v>
      </c>
      <c r="B131" s="20">
        <v>2.0</v>
      </c>
      <c r="C131" s="18" t="s">
        <v>15</v>
      </c>
      <c r="D131" s="18" t="s">
        <v>137</v>
      </c>
      <c r="E131" s="5">
        <v>7.118</v>
      </c>
      <c r="F131" s="5">
        <v>3.168</v>
      </c>
      <c r="G131" s="5">
        <v>7.278</v>
      </c>
      <c r="H131" s="5">
        <f t="shared" si="1"/>
        <v>10.286</v>
      </c>
      <c r="I131" s="19">
        <f t="shared" si="2"/>
        <v>29.24363212</v>
      </c>
      <c r="J131" s="19">
        <f t="shared" si="3"/>
        <v>1880</v>
      </c>
    </row>
    <row r="132">
      <c r="A132" s="18">
        <v>66.0</v>
      </c>
      <c r="B132" s="18">
        <v>1.0</v>
      </c>
      <c r="C132" s="18" t="s">
        <v>15</v>
      </c>
      <c r="D132" s="18" t="s">
        <v>138</v>
      </c>
      <c r="E132" s="5">
        <v>7.197</v>
      </c>
      <c r="F132" s="5">
        <v>3.043</v>
      </c>
      <c r="G132" s="5">
        <v>7.346</v>
      </c>
      <c r="H132" s="5">
        <f t="shared" si="1"/>
        <v>10.24</v>
      </c>
      <c r="I132" s="19">
        <f t="shared" si="2"/>
        <v>28.26171875</v>
      </c>
      <c r="J132" s="19">
        <f t="shared" si="3"/>
        <v>1942.281879</v>
      </c>
    </row>
    <row r="133">
      <c r="A133" s="20">
        <v>66.0</v>
      </c>
      <c r="B133" s="20">
        <v>2.0</v>
      </c>
      <c r="C133" s="18" t="s">
        <v>15</v>
      </c>
      <c r="D133" s="18" t="s">
        <v>139</v>
      </c>
      <c r="E133" s="5">
        <v>6.679</v>
      </c>
      <c r="F133" s="5">
        <v>3.022</v>
      </c>
      <c r="G133" s="5">
        <v>6.808</v>
      </c>
      <c r="H133" s="5">
        <f t="shared" si="1"/>
        <v>9.701</v>
      </c>
      <c r="I133" s="19">
        <f t="shared" si="2"/>
        <v>29.82166787</v>
      </c>
      <c r="J133" s="19">
        <f t="shared" si="3"/>
        <v>2242.635659</v>
      </c>
    </row>
    <row r="134">
      <c r="A134" s="18"/>
      <c r="B134" s="20"/>
      <c r="C134" s="18"/>
      <c r="D134" s="18"/>
      <c r="E134" s="5"/>
      <c r="F134" s="5"/>
      <c r="G134" s="5"/>
      <c r="H134" s="5"/>
    </row>
    <row r="135">
      <c r="A135" s="20"/>
      <c r="B135" s="20"/>
      <c r="C135" s="18"/>
      <c r="D135" s="18"/>
      <c r="E135" s="5"/>
      <c r="F135" s="5"/>
      <c r="G135" s="5"/>
      <c r="H135" s="5"/>
    </row>
    <row r="136">
      <c r="A136" s="18"/>
      <c r="B136" s="20"/>
      <c r="C136" s="18"/>
      <c r="D136" s="18"/>
      <c r="E136" s="5"/>
      <c r="F136" s="5"/>
      <c r="G136" s="5"/>
      <c r="H136" s="5"/>
    </row>
    <row r="137">
      <c r="A137" s="20"/>
      <c r="B137" s="20"/>
      <c r="C137" s="18"/>
      <c r="D137" s="18"/>
      <c r="E137" s="5"/>
      <c r="F137" s="5"/>
      <c r="G137" s="5"/>
      <c r="H137" s="5"/>
    </row>
    <row r="138">
      <c r="A138" s="18"/>
      <c r="B138" s="20"/>
      <c r="C138" s="18"/>
      <c r="D138" s="18"/>
      <c r="E138" s="5"/>
      <c r="F138" s="5"/>
      <c r="G138" s="5"/>
      <c r="H138" s="5"/>
    </row>
    <row r="139">
      <c r="A139" s="20"/>
      <c r="B139" s="20"/>
      <c r="C139" s="18"/>
      <c r="D139" s="18"/>
      <c r="E139" s="5"/>
      <c r="F139" s="5"/>
      <c r="G139" s="5"/>
      <c r="H139" s="5"/>
    </row>
    <row r="140">
      <c r="A140" s="18"/>
      <c r="B140" s="20"/>
      <c r="C140" s="18"/>
      <c r="D140" s="18"/>
      <c r="E140" s="5"/>
      <c r="F140" s="5"/>
      <c r="G140" s="5"/>
      <c r="H140" s="5"/>
    </row>
    <row r="141">
      <c r="A141" s="20"/>
      <c r="B141" s="20"/>
      <c r="C141" s="18"/>
      <c r="D141" s="18"/>
      <c r="E141" s="5"/>
      <c r="F141" s="5"/>
      <c r="G141" s="5"/>
      <c r="H141" s="5"/>
    </row>
    <row r="144">
      <c r="C144" s="5"/>
    </row>
    <row r="145">
      <c r="C145" s="5"/>
      <c r="D145" s="23"/>
    </row>
    <row r="146">
      <c r="C146" s="5"/>
      <c r="D146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24" t="s">
        <v>22</v>
      </c>
      <c r="D1" s="1" t="s">
        <v>140</v>
      </c>
      <c r="E1" s="1" t="s">
        <v>141</v>
      </c>
      <c r="F1" s="25" t="s">
        <v>142</v>
      </c>
      <c r="G1" s="1" t="s">
        <v>143</v>
      </c>
      <c r="H1" s="1" t="s">
        <v>144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5">
        <v>1.0</v>
      </c>
      <c r="B2" s="5" t="s">
        <v>13</v>
      </c>
      <c r="C2" s="5">
        <v>1.0</v>
      </c>
      <c r="D2" s="5">
        <v>5.078</v>
      </c>
      <c r="E2" s="5">
        <v>3.21</v>
      </c>
      <c r="F2" s="5">
        <f t="shared" ref="F2:F199" si="1">(E2 * 0.64) / D2</f>
        <v>0.4045687278</v>
      </c>
      <c r="G2" s="5">
        <v>5.17</v>
      </c>
      <c r="H2" s="5">
        <v>4.2</v>
      </c>
    </row>
    <row r="3">
      <c r="A3" s="5">
        <v>1.0</v>
      </c>
      <c r="B3" s="5" t="s">
        <v>13</v>
      </c>
      <c r="C3" s="5">
        <v>2.0</v>
      </c>
      <c r="D3" s="5">
        <v>5.045</v>
      </c>
      <c r="E3" s="26">
        <v>2.975</v>
      </c>
      <c r="F3" s="5">
        <f t="shared" si="1"/>
        <v>0.3774033697</v>
      </c>
      <c r="G3" s="5">
        <v>4.81</v>
      </c>
      <c r="H3" s="5">
        <v>3.9</v>
      </c>
    </row>
    <row r="4">
      <c r="A4" s="5">
        <v>1.0</v>
      </c>
      <c r="B4" s="5" t="s">
        <v>13</v>
      </c>
      <c r="C4" s="5">
        <v>3.0</v>
      </c>
      <c r="D4" s="5">
        <v>5.142</v>
      </c>
      <c r="E4" s="5">
        <v>2.74</v>
      </c>
      <c r="F4" s="5">
        <f t="shared" si="1"/>
        <v>0.3410346169</v>
      </c>
      <c r="G4" s="5">
        <v>4.71</v>
      </c>
      <c r="H4" s="5">
        <v>4.0</v>
      </c>
    </row>
    <row r="5">
      <c r="A5" s="5">
        <v>2.0</v>
      </c>
      <c r="B5" s="5" t="s">
        <v>13</v>
      </c>
      <c r="C5" s="5">
        <v>1.0</v>
      </c>
      <c r="D5" s="5">
        <v>5.076</v>
      </c>
      <c r="E5" s="5">
        <v>3.07</v>
      </c>
      <c r="F5" s="5">
        <f t="shared" si="1"/>
        <v>0.3870764381</v>
      </c>
      <c r="G5" s="18">
        <v>4.58</v>
      </c>
      <c r="H5" s="5">
        <v>3.6</v>
      </c>
    </row>
    <row r="6">
      <c r="A6" s="5">
        <v>2.0</v>
      </c>
      <c r="B6" s="5" t="s">
        <v>13</v>
      </c>
      <c r="C6" s="5">
        <v>2.0</v>
      </c>
      <c r="D6" s="5">
        <v>5.058</v>
      </c>
      <c r="E6" s="5">
        <v>3.09</v>
      </c>
      <c r="F6" s="5">
        <f t="shared" si="1"/>
        <v>0.3909845789</v>
      </c>
      <c r="G6" s="5">
        <v>4.37</v>
      </c>
      <c r="H6" s="5">
        <v>3.5</v>
      </c>
    </row>
    <row r="7">
      <c r="A7" s="5">
        <v>2.0</v>
      </c>
      <c r="B7" s="5" t="s">
        <v>13</v>
      </c>
      <c r="C7" s="5">
        <v>3.0</v>
      </c>
      <c r="D7" s="5">
        <v>5.028</v>
      </c>
      <c r="E7" s="5">
        <v>3.2</v>
      </c>
      <c r="F7" s="5">
        <f t="shared" si="1"/>
        <v>0.4073190135</v>
      </c>
      <c r="G7" s="5">
        <v>4.3</v>
      </c>
      <c r="H7" s="5">
        <v>3.4</v>
      </c>
    </row>
    <row r="8">
      <c r="A8" s="5">
        <v>3.0</v>
      </c>
      <c r="B8" s="5" t="s">
        <v>13</v>
      </c>
      <c r="C8" s="5">
        <v>1.0</v>
      </c>
      <c r="D8" s="5">
        <v>5.027</v>
      </c>
      <c r="E8" s="5">
        <v>3.35</v>
      </c>
      <c r="F8" s="5">
        <f t="shared" si="1"/>
        <v>0.4264969167</v>
      </c>
      <c r="G8" s="5">
        <v>4.36</v>
      </c>
      <c r="H8" s="5">
        <v>3.4</v>
      </c>
    </row>
    <row r="9">
      <c r="A9" s="5">
        <v>3.0</v>
      </c>
      <c r="B9" s="5" t="s">
        <v>13</v>
      </c>
      <c r="C9" s="5">
        <v>2.0</v>
      </c>
      <c r="D9" s="5">
        <v>5.132</v>
      </c>
      <c r="E9" s="5">
        <v>3.33</v>
      </c>
      <c r="F9" s="5">
        <f t="shared" si="1"/>
        <v>0.4152766952</v>
      </c>
      <c r="G9" s="5">
        <v>4.44</v>
      </c>
      <c r="H9" s="5">
        <v>3.5</v>
      </c>
    </row>
    <row r="10">
      <c r="A10" s="5">
        <v>3.0</v>
      </c>
      <c r="B10" s="5" t="s">
        <v>13</v>
      </c>
      <c r="C10" s="5">
        <v>3.0</v>
      </c>
      <c r="D10" s="5">
        <v>5.193</v>
      </c>
      <c r="E10" s="5">
        <v>3.21</v>
      </c>
      <c r="F10" s="5">
        <f t="shared" si="1"/>
        <v>0.3956094743</v>
      </c>
      <c r="G10" s="5">
        <v>4.42</v>
      </c>
      <c r="H10" s="5">
        <v>3.4</v>
      </c>
    </row>
    <row r="11">
      <c r="A11" s="5">
        <v>4.0</v>
      </c>
      <c r="B11" s="5" t="s">
        <v>13</v>
      </c>
      <c r="C11" s="5">
        <v>1.0</v>
      </c>
      <c r="D11" s="5">
        <v>5.034</v>
      </c>
      <c r="E11" s="5">
        <v>2.41</v>
      </c>
      <c r="F11" s="5">
        <f t="shared" si="1"/>
        <v>0.3063965038</v>
      </c>
      <c r="G11" s="5">
        <v>4.36</v>
      </c>
      <c r="H11" s="5">
        <v>3.4</v>
      </c>
    </row>
    <row r="12">
      <c r="A12" s="5">
        <v>4.0</v>
      </c>
      <c r="B12" s="5" t="s">
        <v>13</v>
      </c>
      <c r="C12" s="5">
        <v>2.0</v>
      </c>
      <c r="D12" s="5">
        <v>5.03</v>
      </c>
      <c r="E12" s="5">
        <v>2.16</v>
      </c>
      <c r="F12" s="5">
        <f t="shared" si="1"/>
        <v>0.2748310139</v>
      </c>
      <c r="G12" s="5">
        <v>4.33</v>
      </c>
      <c r="H12" s="5">
        <v>3.4</v>
      </c>
    </row>
    <row r="13">
      <c r="A13" s="5">
        <v>4.0</v>
      </c>
      <c r="B13" s="5" t="s">
        <v>13</v>
      </c>
      <c r="C13" s="5">
        <v>3.0</v>
      </c>
      <c r="D13" s="5">
        <v>5.133</v>
      </c>
      <c r="E13" s="5">
        <v>2.18</v>
      </c>
      <c r="F13" s="5">
        <f t="shared" si="1"/>
        <v>0.2718098578</v>
      </c>
      <c r="G13" s="5">
        <v>4.33</v>
      </c>
      <c r="H13" s="5">
        <v>3.4</v>
      </c>
    </row>
    <row r="14">
      <c r="A14" s="5">
        <v>5.0</v>
      </c>
      <c r="B14" s="5" t="s">
        <v>13</v>
      </c>
      <c r="C14" s="5">
        <v>1.0</v>
      </c>
      <c r="D14" s="5">
        <v>5.095</v>
      </c>
      <c r="E14" s="5">
        <v>2.73</v>
      </c>
      <c r="F14" s="5">
        <f t="shared" si="1"/>
        <v>0.3429244357</v>
      </c>
      <c r="G14" s="5">
        <v>4.29</v>
      </c>
      <c r="H14" s="5">
        <v>3.5</v>
      </c>
    </row>
    <row r="15">
      <c r="A15" s="5">
        <v>5.0</v>
      </c>
      <c r="B15" s="5" t="s">
        <v>13</v>
      </c>
      <c r="C15" s="5">
        <v>2.0</v>
      </c>
      <c r="D15" s="5">
        <v>5.221</v>
      </c>
      <c r="E15" s="5">
        <v>2.73</v>
      </c>
      <c r="F15" s="5">
        <f t="shared" si="1"/>
        <v>0.3346485348</v>
      </c>
      <c r="G15" s="5">
        <v>4.29</v>
      </c>
      <c r="H15" s="5">
        <v>3.4</v>
      </c>
    </row>
    <row r="16">
      <c r="A16" s="5">
        <v>5.0</v>
      </c>
      <c r="B16" s="5" t="s">
        <v>13</v>
      </c>
      <c r="C16" s="5">
        <v>3.0</v>
      </c>
      <c r="D16" s="5">
        <v>5.054</v>
      </c>
      <c r="E16" s="5">
        <v>2.69</v>
      </c>
      <c r="F16" s="5">
        <f t="shared" si="1"/>
        <v>0.3406410764</v>
      </c>
      <c r="G16" s="5">
        <v>4.28</v>
      </c>
      <c r="H16" s="5">
        <v>3.5</v>
      </c>
    </row>
    <row r="17">
      <c r="A17" s="5">
        <v>6.0</v>
      </c>
      <c r="B17" s="5" t="s">
        <v>13</v>
      </c>
      <c r="C17" s="5">
        <v>1.0</v>
      </c>
      <c r="D17" s="5">
        <v>5.039</v>
      </c>
      <c r="E17" s="5">
        <v>1.94</v>
      </c>
      <c r="F17" s="5">
        <f t="shared" si="1"/>
        <v>0.2463980949</v>
      </c>
      <c r="G17" s="5">
        <v>4.55</v>
      </c>
      <c r="H17" s="5">
        <v>3.5</v>
      </c>
    </row>
    <row r="18">
      <c r="A18" s="5">
        <v>6.0</v>
      </c>
      <c r="B18" s="5" t="s">
        <v>13</v>
      </c>
      <c r="C18" s="5">
        <v>2.0</v>
      </c>
      <c r="D18" s="5">
        <v>5.126</v>
      </c>
      <c r="E18" s="5">
        <v>1.34</v>
      </c>
      <c r="F18" s="5">
        <f t="shared" si="1"/>
        <v>0.1673039407</v>
      </c>
      <c r="G18" s="5">
        <v>4.58</v>
      </c>
      <c r="H18" s="5">
        <v>3.6</v>
      </c>
    </row>
    <row r="19">
      <c r="A19" s="5">
        <v>6.0</v>
      </c>
      <c r="B19" s="5" t="s">
        <v>13</v>
      </c>
      <c r="C19" s="5">
        <v>3.0</v>
      </c>
      <c r="D19" s="5">
        <v>5.051</v>
      </c>
      <c r="E19" s="5">
        <v>1.51</v>
      </c>
      <c r="F19" s="5">
        <f t="shared" si="1"/>
        <v>0.1913284498</v>
      </c>
      <c r="G19" s="5">
        <v>4.68</v>
      </c>
      <c r="H19" s="5">
        <v>3.5</v>
      </c>
    </row>
    <row r="20">
      <c r="A20" s="5">
        <v>7.0</v>
      </c>
      <c r="B20" s="5" t="s">
        <v>13</v>
      </c>
      <c r="C20" s="5">
        <v>1.0</v>
      </c>
      <c r="D20" s="5">
        <v>5.09</v>
      </c>
      <c r="E20" s="5">
        <v>2.23</v>
      </c>
      <c r="F20" s="5">
        <f t="shared" si="1"/>
        <v>0.2803929273</v>
      </c>
      <c r="G20" s="5">
        <v>4.32</v>
      </c>
      <c r="H20" s="5">
        <v>3.9</v>
      </c>
    </row>
    <row r="21">
      <c r="A21" s="5">
        <v>7.0</v>
      </c>
      <c r="B21" s="5" t="s">
        <v>13</v>
      </c>
      <c r="C21" s="5">
        <v>2.0</v>
      </c>
      <c r="D21" s="5">
        <v>5.022</v>
      </c>
      <c r="E21" s="5">
        <v>2.27</v>
      </c>
      <c r="F21" s="5">
        <f t="shared" si="1"/>
        <v>0.2892871366</v>
      </c>
      <c r="G21" s="5">
        <v>4.29</v>
      </c>
      <c r="H21" s="5">
        <v>4.0</v>
      </c>
    </row>
    <row r="22">
      <c r="A22" s="5">
        <v>7.0</v>
      </c>
      <c r="B22" s="5" t="s">
        <v>13</v>
      </c>
      <c r="C22" s="5">
        <v>3.0</v>
      </c>
      <c r="D22" s="5">
        <v>5.022</v>
      </c>
      <c r="E22" s="5">
        <v>2.13</v>
      </c>
      <c r="F22" s="5">
        <f t="shared" si="1"/>
        <v>0.2714456392</v>
      </c>
      <c r="G22" s="5">
        <v>4.31</v>
      </c>
      <c r="H22" s="5">
        <v>4.0</v>
      </c>
    </row>
    <row r="23">
      <c r="A23" s="5">
        <v>8.0</v>
      </c>
      <c r="B23" s="5" t="s">
        <v>13</v>
      </c>
      <c r="C23" s="5">
        <v>1.0</v>
      </c>
      <c r="D23" s="5">
        <v>5.008</v>
      </c>
      <c r="E23" s="5">
        <v>2.88</v>
      </c>
      <c r="F23" s="5">
        <f t="shared" si="1"/>
        <v>0.3680511182</v>
      </c>
      <c r="G23" s="5">
        <v>4.16</v>
      </c>
      <c r="H23" s="5">
        <v>3.4</v>
      </c>
    </row>
    <row r="24">
      <c r="A24" s="5">
        <v>8.0</v>
      </c>
      <c r="B24" s="5" t="s">
        <v>13</v>
      </c>
      <c r="C24" s="5">
        <v>2.0</v>
      </c>
      <c r="D24" s="5">
        <v>5.022</v>
      </c>
      <c r="E24" s="5">
        <v>3.1</v>
      </c>
      <c r="F24" s="5">
        <f t="shared" si="1"/>
        <v>0.3950617284</v>
      </c>
      <c r="G24" s="5">
        <v>4.13</v>
      </c>
      <c r="H24" s="5">
        <v>3.5</v>
      </c>
    </row>
    <row r="25">
      <c r="A25" s="5">
        <v>8.0</v>
      </c>
      <c r="B25" s="5" t="s">
        <v>13</v>
      </c>
      <c r="C25" s="5">
        <v>3.0</v>
      </c>
      <c r="D25" s="5">
        <v>5.027</v>
      </c>
      <c r="E25" s="5">
        <v>2.94</v>
      </c>
      <c r="F25" s="5">
        <f t="shared" si="1"/>
        <v>0.3742987866</v>
      </c>
      <c r="G25" s="5">
        <v>4.14</v>
      </c>
      <c r="H25" s="5">
        <v>3.5</v>
      </c>
    </row>
    <row r="26">
      <c r="A26" s="5">
        <v>9.0</v>
      </c>
      <c r="B26" s="5" t="s">
        <v>13</v>
      </c>
      <c r="C26" s="5">
        <v>1.0</v>
      </c>
      <c r="D26" s="5">
        <v>5.066</v>
      </c>
      <c r="E26" s="5">
        <v>2.74</v>
      </c>
      <c r="F26" s="5">
        <f t="shared" si="1"/>
        <v>0.3461508093</v>
      </c>
      <c r="G26" s="5">
        <v>4.15</v>
      </c>
      <c r="H26" s="5">
        <v>3.5</v>
      </c>
    </row>
    <row r="27">
      <c r="A27" s="5">
        <v>9.0</v>
      </c>
      <c r="B27" s="5" t="s">
        <v>13</v>
      </c>
      <c r="C27" s="5">
        <v>2.0</v>
      </c>
      <c r="D27" s="5">
        <v>5.085</v>
      </c>
      <c r="E27" s="27">
        <v>2.83</v>
      </c>
      <c r="F27" s="5">
        <f t="shared" si="1"/>
        <v>0.3561848574</v>
      </c>
      <c r="G27" s="5">
        <v>4.06</v>
      </c>
      <c r="H27" s="5">
        <v>3.5</v>
      </c>
    </row>
    <row r="28">
      <c r="A28" s="5">
        <v>9.0</v>
      </c>
      <c r="B28" s="5" t="s">
        <v>13</v>
      </c>
      <c r="C28" s="5">
        <v>3.0</v>
      </c>
      <c r="D28" s="5">
        <v>5.036</v>
      </c>
      <c r="E28" s="5">
        <v>2.92</v>
      </c>
      <c r="F28" s="5">
        <f t="shared" si="1"/>
        <v>0.3710881652</v>
      </c>
      <c r="G28" s="5">
        <v>4.09</v>
      </c>
      <c r="H28" s="5">
        <v>3.5</v>
      </c>
    </row>
    <row r="29">
      <c r="A29" s="5">
        <v>10.0</v>
      </c>
      <c r="B29" s="5" t="s">
        <v>13</v>
      </c>
      <c r="C29" s="5">
        <v>1.0</v>
      </c>
      <c r="D29" s="5">
        <v>5.085</v>
      </c>
      <c r="E29" s="5">
        <v>2.74</v>
      </c>
      <c r="F29" s="5">
        <f t="shared" si="1"/>
        <v>0.3448574238</v>
      </c>
      <c r="G29" s="5">
        <v>4.16</v>
      </c>
      <c r="H29" s="5">
        <v>3.7</v>
      </c>
    </row>
    <row r="30">
      <c r="A30" s="5">
        <v>10.0</v>
      </c>
      <c r="B30" s="5" t="s">
        <v>13</v>
      </c>
      <c r="C30" s="5">
        <v>2.0</v>
      </c>
      <c r="D30" s="5">
        <v>5.085</v>
      </c>
      <c r="E30" s="5">
        <v>2.98</v>
      </c>
      <c r="F30" s="5">
        <f t="shared" si="1"/>
        <v>0.3750639135</v>
      </c>
      <c r="G30" s="5">
        <v>4.11</v>
      </c>
      <c r="H30" s="5">
        <v>3.5</v>
      </c>
    </row>
    <row r="31">
      <c r="A31" s="5">
        <v>10.0</v>
      </c>
      <c r="B31" s="5" t="s">
        <v>13</v>
      </c>
      <c r="C31" s="5">
        <v>3.0</v>
      </c>
      <c r="D31" s="5">
        <v>5.022</v>
      </c>
      <c r="E31" s="5">
        <v>2.92</v>
      </c>
      <c r="F31" s="5">
        <f t="shared" si="1"/>
        <v>0.3721226603</v>
      </c>
      <c r="G31" s="5">
        <v>4.15</v>
      </c>
      <c r="H31" s="5">
        <v>3.6</v>
      </c>
    </row>
    <row r="32">
      <c r="A32" s="5">
        <v>11.0</v>
      </c>
      <c r="B32" s="5" t="s">
        <v>13</v>
      </c>
      <c r="C32" s="5">
        <v>1.0</v>
      </c>
      <c r="D32" s="5">
        <v>5.077</v>
      </c>
      <c r="E32" s="5">
        <v>1.87</v>
      </c>
      <c r="F32" s="5">
        <f t="shared" si="1"/>
        <v>0.2357297617</v>
      </c>
      <c r="G32" s="5">
        <v>4.32</v>
      </c>
      <c r="H32" s="5">
        <v>3.4</v>
      </c>
    </row>
    <row r="33">
      <c r="A33" s="5">
        <v>11.0</v>
      </c>
      <c r="B33" s="5" t="s">
        <v>13</v>
      </c>
      <c r="C33" s="5">
        <v>2.0</v>
      </c>
      <c r="D33" s="5">
        <v>5.073</v>
      </c>
      <c r="E33" s="5">
        <v>1.87</v>
      </c>
      <c r="F33" s="5">
        <f t="shared" si="1"/>
        <v>0.2359156318</v>
      </c>
      <c r="G33" s="5">
        <v>4.49</v>
      </c>
      <c r="H33" s="5">
        <v>3.3</v>
      </c>
    </row>
    <row r="34">
      <c r="A34" s="5">
        <v>11.0</v>
      </c>
      <c r="B34" s="5" t="s">
        <v>13</v>
      </c>
      <c r="C34" s="5">
        <v>3.0</v>
      </c>
      <c r="D34" s="5">
        <v>5.133</v>
      </c>
      <c r="E34" s="5">
        <v>1.98</v>
      </c>
      <c r="F34" s="5">
        <f t="shared" si="1"/>
        <v>0.2468731736</v>
      </c>
      <c r="G34" s="5">
        <v>4.37</v>
      </c>
      <c r="H34" s="5">
        <v>3.3</v>
      </c>
    </row>
    <row r="35">
      <c r="A35" s="5">
        <v>12.0</v>
      </c>
      <c r="B35" s="5" t="s">
        <v>13</v>
      </c>
      <c r="C35" s="5">
        <v>1.0</v>
      </c>
      <c r="D35" s="16">
        <v>5.015</v>
      </c>
      <c r="E35" s="5">
        <v>2.41</v>
      </c>
      <c r="F35" s="5">
        <f t="shared" si="1"/>
        <v>0.307557328</v>
      </c>
      <c r="G35" s="16">
        <v>4.53</v>
      </c>
      <c r="H35" s="16">
        <v>3.4</v>
      </c>
    </row>
    <row r="36">
      <c r="A36" s="5">
        <v>12.0</v>
      </c>
      <c r="B36" s="5" t="s">
        <v>13</v>
      </c>
      <c r="C36" s="5">
        <v>2.0</v>
      </c>
      <c r="D36" s="16">
        <v>5.032</v>
      </c>
      <c r="E36" s="5">
        <v>2.16</v>
      </c>
      <c r="F36" s="5">
        <f t="shared" si="1"/>
        <v>0.2747217806</v>
      </c>
      <c r="G36" s="16">
        <v>4.5</v>
      </c>
      <c r="H36" s="5">
        <v>3.6</v>
      </c>
    </row>
    <row r="37">
      <c r="A37" s="5">
        <v>12.0</v>
      </c>
      <c r="B37" s="5" t="s">
        <v>13</v>
      </c>
      <c r="C37" s="5">
        <v>3.0</v>
      </c>
      <c r="D37" s="5">
        <v>5.022</v>
      </c>
      <c r="E37" s="5">
        <v>2.18</v>
      </c>
      <c r="F37" s="5">
        <f t="shared" si="1"/>
        <v>0.2778176025</v>
      </c>
      <c r="G37" s="16">
        <v>4.6</v>
      </c>
      <c r="H37" s="5">
        <v>3.5</v>
      </c>
    </row>
    <row r="38">
      <c r="A38" s="5">
        <v>13.0</v>
      </c>
      <c r="B38" s="5" t="s">
        <v>13</v>
      </c>
      <c r="C38" s="5">
        <v>1.0</v>
      </c>
      <c r="D38" s="5">
        <v>5.092</v>
      </c>
      <c r="E38" s="5">
        <v>3.01</v>
      </c>
      <c r="F38" s="5">
        <f t="shared" si="1"/>
        <v>0.3783189317</v>
      </c>
      <c r="G38" s="5">
        <v>4.25</v>
      </c>
      <c r="H38" s="5">
        <v>3.8</v>
      </c>
    </row>
    <row r="39">
      <c r="A39" s="5">
        <v>13.0</v>
      </c>
      <c r="B39" s="5" t="s">
        <v>13</v>
      </c>
      <c r="C39" s="5">
        <v>2.0</v>
      </c>
      <c r="D39" s="5">
        <v>5.038</v>
      </c>
      <c r="E39" s="5">
        <v>3.05</v>
      </c>
      <c r="F39" s="5">
        <f t="shared" si="1"/>
        <v>0.3874553394</v>
      </c>
      <c r="G39" s="5">
        <v>4.32</v>
      </c>
      <c r="H39" s="5">
        <v>3.7</v>
      </c>
    </row>
    <row r="40">
      <c r="A40" s="5">
        <v>13.0</v>
      </c>
      <c r="B40" s="5" t="s">
        <v>13</v>
      </c>
      <c r="C40" s="5">
        <v>3.0</v>
      </c>
      <c r="D40" s="5">
        <v>5.011</v>
      </c>
      <c r="E40" s="5">
        <v>3.06</v>
      </c>
      <c r="F40" s="5">
        <f t="shared" si="1"/>
        <v>0.3908201956</v>
      </c>
      <c r="G40" s="5">
        <v>4.4</v>
      </c>
      <c r="H40" s="5">
        <v>4.2</v>
      </c>
    </row>
    <row r="41">
      <c r="A41" s="5">
        <v>14.0</v>
      </c>
      <c r="B41" s="5" t="s">
        <v>13</v>
      </c>
      <c r="C41" s="5">
        <v>1.0</v>
      </c>
      <c r="D41" s="5">
        <v>5.113</v>
      </c>
      <c r="E41" s="5">
        <v>2.34</v>
      </c>
      <c r="F41" s="5">
        <f t="shared" si="1"/>
        <v>0.2929004498</v>
      </c>
      <c r="G41" s="5">
        <v>4.44</v>
      </c>
      <c r="H41" s="5">
        <v>3.8</v>
      </c>
    </row>
    <row r="42">
      <c r="A42" s="5">
        <v>14.0</v>
      </c>
      <c r="B42" s="5" t="s">
        <v>13</v>
      </c>
      <c r="C42" s="5">
        <v>2.0</v>
      </c>
      <c r="D42" s="5">
        <v>4.992</v>
      </c>
      <c r="E42" s="5">
        <v>1.82</v>
      </c>
      <c r="F42" s="5">
        <f t="shared" si="1"/>
        <v>0.2333333333</v>
      </c>
      <c r="G42" s="5">
        <v>4.2</v>
      </c>
      <c r="H42" s="5">
        <v>3.7</v>
      </c>
    </row>
    <row r="43">
      <c r="A43" s="5">
        <v>14.0</v>
      </c>
      <c r="B43" s="5" t="s">
        <v>13</v>
      </c>
      <c r="C43" s="5">
        <v>3.0</v>
      </c>
      <c r="D43" s="5">
        <v>4.95</v>
      </c>
      <c r="E43" s="5">
        <v>1.76</v>
      </c>
      <c r="F43" s="5">
        <f t="shared" si="1"/>
        <v>0.2275555556</v>
      </c>
      <c r="G43" s="5">
        <v>4.48</v>
      </c>
      <c r="H43" s="5">
        <v>3.8</v>
      </c>
    </row>
    <row r="44">
      <c r="A44" s="5">
        <v>15.0</v>
      </c>
      <c r="B44" s="5" t="s">
        <v>13</v>
      </c>
      <c r="C44" s="5">
        <v>1.0</v>
      </c>
      <c r="D44" s="5">
        <v>5.059</v>
      </c>
      <c r="E44" s="5">
        <v>2.93</v>
      </c>
      <c r="F44" s="5">
        <f t="shared" si="1"/>
        <v>0.3706661396</v>
      </c>
      <c r="G44" s="5">
        <v>4.68</v>
      </c>
      <c r="H44" s="5">
        <v>4.7</v>
      </c>
    </row>
    <row r="45">
      <c r="A45" s="5">
        <v>15.0</v>
      </c>
      <c r="B45" s="5" t="s">
        <v>13</v>
      </c>
      <c r="C45" s="5">
        <v>2.0</v>
      </c>
      <c r="D45" s="5">
        <v>5.229</v>
      </c>
      <c r="E45" s="5">
        <v>3.16</v>
      </c>
      <c r="F45" s="5">
        <f t="shared" si="1"/>
        <v>0.3867661121</v>
      </c>
      <c r="G45" s="5">
        <v>4.56</v>
      </c>
      <c r="H45" s="5">
        <v>4.5</v>
      </c>
    </row>
    <row r="46">
      <c r="A46" s="5">
        <v>15.0</v>
      </c>
      <c r="B46" s="5" t="s">
        <v>13</v>
      </c>
      <c r="C46" s="5">
        <v>3.0</v>
      </c>
      <c r="D46" s="5">
        <v>5.154</v>
      </c>
      <c r="E46" s="5">
        <v>3.1</v>
      </c>
      <c r="F46" s="5">
        <f t="shared" si="1"/>
        <v>0.384943733</v>
      </c>
      <c r="G46" s="5">
        <v>4.52</v>
      </c>
      <c r="H46" s="5">
        <v>4.5</v>
      </c>
    </row>
    <row r="47">
      <c r="A47" s="5">
        <v>16.0</v>
      </c>
      <c r="B47" s="5" t="s">
        <v>13</v>
      </c>
      <c r="C47" s="5">
        <v>1.0</v>
      </c>
      <c r="D47" s="5">
        <v>5.195</v>
      </c>
      <c r="E47" s="5">
        <v>1.95</v>
      </c>
      <c r="F47" s="5">
        <f t="shared" si="1"/>
        <v>0.2402309913</v>
      </c>
      <c r="G47" s="5">
        <v>4.55</v>
      </c>
      <c r="H47" s="5">
        <v>4.0</v>
      </c>
    </row>
    <row r="48">
      <c r="A48" s="5">
        <v>16.0</v>
      </c>
      <c r="B48" s="5" t="s">
        <v>13</v>
      </c>
      <c r="C48" s="5">
        <v>2.0</v>
      </c>
      <c r="D48" s="5">
        <v>5.129</v>
      </c>
      <c r="E48" s="5">
        <v>1.9</v>
      </c>
      <c r="F48" s="5">
        <f t="shared" si="1"/>
        <v>0.2370832521</v>
      </c>
      <c r="G48" s="5">
        <v>4.52</v>
      </c>
      <c r="H48" s="5">
        <v>3.7</v>
      </c>
    </row>
    <row r="49">
      <c r="A49" s="5">
        <v>16.0</v>
      </c>
      <c r="B49" s="5" t="s">
        <v>13</v>
      </c>
      <c r="C49" s="5">
        <v>3.0</v>
      </c>
      <c r="D49" s="5">
        <v>5.065</v>
      </c>
      <c r="E49" s="5">
        <v>1.83</v>
      </c>
      <c r="F49" s="5">
        <f t="shared" si="1"/>
        <v>0.2312339585</v>
      </c>
      <c r="G49" s="5">
        <v>4.54</v>
      </c>
      <c r="H49" s="5">
        <v>3.7</v>
      </c>
    </row>
    <row r="50">
      <c r="A50" s="5">
        <v>17.0</v>
      </c>
      <c r="B50" s="5" t="s">
        <v>13</v>
      </c>
      <c r="C50" s="5">
        <v>1.0</v>
      </c>
      <c r="D50" s="5">
        <v>5.15</v>
      </c>
      <c r="E50" s="5">
        <v>2.21</v>
      </c>
      <c r="F50" s="5">
        <f t="shared" si="1"/>
        <v>0.2746407767</v>
      </c>
      <c r="G50" s="5">
        <v>4.55</v>
      </c>
      <c r="H50" s="5">
        <v>4.1</v>
      </c>
    </row>
    <row r="51">
      <c r="A51" s="5">
        <v>17.0</v>
      </c>
      <c r="B51" s="5" t="s">
        <v>13</v>
      </c>
      <c r="C51" s="5">
        <v>2.0</v>
      </c>
      <c r="D51" s="5">
        <v>5.143</v>
      </c>
      <c r="E51" s="5">
        <v>2.33</v>
      </c>
      <c r="F51" s="5">
        <f t="shared" si="1"/>
        <v>0.2899475015</v>
      </c>
      <c r="G51" s="5">
        <v>4.68</v>
      </c>
      <c r="H51" s="5">
        <v>4.3</v>
      </c>
    </row>
    <row r="52">
      <c r="A52" s="5">
        <v>17.0</v>
      </c>
      <c r="B52" s="5" t="s">
        <v>13</v>
      </c>
      <c r="C52" s="5">
        <v>3.0</v>
      </c>
      <c r="D52" s="5">
        <v>5.107</v>
      </c>
      <c r="E52" s="5">
        <v>2.37</v>
      </c>
      <c r="F52" s="5">
        <f t="shared" si="1"/>
        <v>0.297004112</v>
      </c>
      <c r="G52" s="5">
        <v>4.68</v>
      </c>
      <c r="H52" s="5">
        <v>4.3</v>
      </c>
    </row>
    <row r="53">
      <c r="A53" s="5">
        <v>18.0</v>
      </c>
      <c r="B53" s="5" t="s">
        <v>13</v>
      </c>
      <c r="C53" s="5">
        <v>1.0</v>
      </c>
      <c r="D53" s="5">
        <v>5.082</v>
      </c>
      <c r="E53" s="5">
        <v>2.3</v>
      </c>
      <c r="F53" s="5">
        <f t="shared" si="1"/>
        <v>0.2896497442</v>
      </c>
      <c r="G53" s="5">
        <v>4.61</v>
      </c>
      <c r="H53" s="5">
        <v>4.2</v>
      </c>
    </row>
    <row r="54">
      <c r="A54" s="5">
        <v>18.0</v>
      </c>
      <c r="B54" s="5" t="s">
        <v>13</v>
      </c>
      <c r="C54" s="5">
        <v>2.0</v>
      </c>
      <c r="D54" s="5">
        <v>5.173</v>
      </c>
      <c r="E54" s="5">
        <v>2.35</v>
      </c>
      <c r="F54" s="5">
        <f t="shared" si="1"/>
        <v>0.2907403828</v>
      </c>
      <c r="G54" s="5">
        <v>4.56</v>
      </c>
      <c r="H54" s="5">
        <v>4.2</v>
      </c>
    </row>
    <row r="55">
      <c r="A55" s="5">
        <v>18.0</v>
      </c>
      <c r="B55" s="5" t="s">
        <v>13</v>
      </c>
      <c r="C55" s="5">
        <v>3.0</v>
      </c>
      <c r="D55" s="5">
        <v>5.009</v>
      </c>
      <c r="E55" s="5">
        <v>2.25</v>
      </c>
      <c r="F55" s="5">
        <f t="shared" si="1"/>
        <v>0.2874825314</v>
      </c>
      <c r="G55" s="5">
        <v>4.61</v>
      </c>
      <c r="H55" s="5">
        <v>4.3</v>
      </c>
    </row>
    <row r="56">
      <c r="A56" s="5">
        <v>19.0</v>
      </c>
      <c r="B56" s="5" t="s">
        <v>13</v>
      </c>
      <c r="C56" s="5">
        <v>1.0</v>
      </c>
      <c r="D56" s="5">
        <v>5.039</v>
      </c>
      <c r="E56" s="5">
        <v>2.4</v>
      </c>
      <c r="F56" s="5">
        <f t="shared" si="1"/>
        <v>0.3048223854</v>
      </c>
      <c r="G56" s="5">
        <v>4.46</v>
      </c>
      <c r="H56" s="5">
        <v>4.1</v>
      </c>
    </row>
    <row r="57">
      <c r="A57" s="5">
        <v>19.0</v>
      </c>
      <c r="B57" s="5" t="s">
        <v>13</v>
      </c>
      <c r="C57" s="5">
        <v>2.0</v>
      </c>
      <c r="D57" s="5">
        <v>5.19</v>
      </c>
      <c r="E57" s="5">
        <v>2.59</v>
      </c>
      <c r="F57" s="5">
        <f t="shared" si="1"/>
        <v>0.3193834297</v>
      </c>
      <c r="G57" s="5">
        <v>4.36</v>
      </c>
      <c r="H57" s="5">
        <v>4.2</v>
      </c>
    </row>
    <row r="58">
      <c r="A58" s="5">
        <v>19.0</v>
      </c>
      <c r="B58" s="5" t="s">
        <v>13</v>
      </c>
      <c r="C58" s="5">
        <v>3.0</v>
      </c>
      <c r="D58" s="5">
        <v>5.061</v>
      </c>
      <c r="E58" s="5">
        <v>2.5</v>
      </c>
      <c r="F58" s="5">
        <f t="shared" si="1"/>
        <v>0.3161430547</v>
      </c>
      <c r="G58" s="5">
        <v>4.34</v>
      </c>
      <c r="H58" s="5">
        <v>4.1</v>
      </c>
    </row>
    <row r="59">
      <c r="A59" s="5">
        <v>20.0</v>
      </c>
      <c r="B59" s="5" t="s">
        <v>13</v>
      </c>
      <c r="C59" s="5">
        <v>1.0</v>
      </c>
      <c r="D59" s="5">
        <v>5.011</v>
      </c>
      <c r="E59" s="5">
        <v>2.03</v>
      </c>
      <c r="F59" s="5">
        <f t="shared" si="1"/>
        <v>0.2592696069</v>
      </c>
      <c r="G59" s="5">
        <v>4.51</v>
      </c>
      <c r="H59" s="28">
        <v>45476.0</v>
      </c>
    </row>
    <row r="60">
      <c r="A60" s="5">
        <v>20.0</v>
      </c>
      <c r="B60" s="5" t="s">
        <v>13</v>
      </c>
      <c r="C60" s="5">
        <v>2.0</v>
      </c>
      <c r="D60" s="5">
        <v>5.157</v>
      </c>
      <c r="E60" s="5">
        <v>2.06</v>
      </c>
      <c r="F60" s="5">
        <f t="shared" si="1"/>
        <v>0.2556525111</v>
      </c>
      <c r="G60" s="5">
        <v>4.5</v>
      </c>
      <c r="H60" s="5">
        <v>3.8</v>
      </c>
    </row>
    <row r="61">
      <c r="A61" s="5">
        <v>20.0</v>
      </c>
      <c r="B61" s="5" t="s">
        <v>13</v>
      </c>
      <c r="C61" s="5">
        <v>3.0</v>
      </c>
      <c r="D61" s="5">
        <v>5.125</v>
      </c>
      <c r="E61" s="5">
        <v>2.17</v>
      </c>
      <c r="F61" s="5">
        <f t="shared" si="1"/>
        <v>0.2709853659</v>
      </c>
      <c r="G61" s="5">
        <v>4.49</v>
      </c>
      <c r="H61" s="5">
        <v>3.8</v>
      </c>
    </row>
    <row r="62">
      <c r="A62" s="5">
        <v>21.0</v>
      </c>
      <c r="B62" s="5" t="s">
        <v>13</v>
      </c>
      <c r="C62" s="5">
        <v>1.0</v>
      </c>
      <c r="D62" s="5">
        <v>5.093</v>
      </c>
      <c r="E62" s="5">
        <v>1.75</v>
      </c>
      <c r="F62" s="5">
        <f t="shared" si="1"/>
        <v>0.21990968</v>
      </c>
      <c r="G62" s="5">
        <v>4.63</v>
      </c>
      <c r="H62" s="5">
        <v>2.9</v>
      </c>
    </row>
    <row r="63">
      <c r="A63" s="5">
        <v>21.0</v>
      </c>
      <c r="B63" s="5" t="s">
        <v>13</v>
      </c>
      <c r="C63" s="5">
        <v>2.0</v>
      </c>
      <c r="D63" s="5">
        <v>5.195</v>
      </c>
      <c r="E63" s="5">
        <v>1.86</v>
      </c>
      <c r="F63" s="5">
        <f t="shared" si="1"/>
        <v>0.2291434071</v>
      </c>
      <c r="G63" s="5">
        <v>4.67</v>
      </c>
      <c r="H63" s="5">
        <v>3.0</v>
      </c>
    </row>
    <row r="64">
      <c r="A64" s="5">
        <v>21.0</v>
      </c>
      <c r="B64" s="5" t="s">
        <v>13</v>
      </c>
      <c r="C64" s="5">
        <v>3.0</v>
      </c>
      <c r="D64" s="5">
        <v>5.117</v>
      </c>
      <c r="E64" s="5">
        <v>2.7</v>
      </c>
      <c r="F64" s="5">
        <f t="shared" si="1"/>
        <v>0.3376978698</v>
      </c>
      <c r="G64" s="5">
        <v>4.66</v>
      </c>
      <c r="H64" s="5">
        <v>2.9</v>
      </c>
    </row>
    <row r="65">
      <c r="A65" s="5">
        <v>22.0</v>
      </c>
      <c r="B65" s="5" t="s">
        <v>13</v>
      </c>
      <c r="C65" s="5">
        <v>1.0</v>
      </c>
      <c r="D65" s="5">
        <v>5.015</v>
      </c>
      <c r="E65" s="5">
        <v>2.96</v>
      </c>
      <c r="F65" s="5">
        <f t="shared" si="1"/>
        <v>0.3777467597</v>
      </c>
      <c r="G65" s="5">
        <v>4.44</v>
      </c>
      <c r="H65" s="5">
        <v>3.9</v>
      </c>
    </row>
    <row r="66">
      <c r="A66" s="5">
        <v>22.0</v>
      </c>
      <c r="B66" s="5" t="s">
        <v>13</v>
      </c>
      <c r="C66" s="5">
        <v>2.0</v>
      </c>
      <c r="D66" s="5">
        <v>5.102</v>
      </c>
      <c r="E66" s="5">
        <v>3.26</v>
      </c>
      <c r="F66" s="5">
        <f t="shared" si="1"/>
        <v>0.4089376715</v>
      </c>
      <c r="G66" s="5">
        <v>4.34</v>
      </c>
      <c r="H66" s="5">
        <v>3.9</v>
      </c>
    </row>
    <row r="67">
      <c r="A67" s="5">
        <v>22.0</v>
      </c>
      <c r="B67" s="5" t="s">
        <v>13</v>
      </c>
      <c r="C67" s="5">
        <v>3.0</v>
      </c>
      <c r="D67" s="5">
        <v>5.195</v>
      </c>
      <c r="E67" s="26">
        <v>3.505</v>
      </c>
      <c r="F67" s="5">
        <f t="shared" si="1"/>
        <v>0.4317998075</v>
      </c>
      <c r="G67" s="5">
        <v>4.41</v>
      </c>
      <c r="H67" s="5">
        <v>3.8</v>
      </c>
    </row>
    <row r="68">
      <c r="A68" s="5">
        <v>23.0</v>
      </c>
      <c r="B68" s="5" t="s">
        <v>14</v>
      </c>
      <c r="C68" s="5">
        <v>1.0</v>
      </c>
      <c r="D68" s="5">
        <v>5.014</v>
      </c>
      <c r="E68" s="5">
        <v>3.75</v>
      </c>
      <c r="F68" s="5">
        <f t="shared" si="1"/>
        <v>0.4786597527</v>
      </c>
      <c r="G68" s="5">
        <v>4.4</v>
      </c>
      <c r="H68" s="5">
        <v>4.5</v>
      </c>
    </row>
    <row r="69">
      <c r="A69" s="5">
        <v>23.0</v>
      </c>
      <c r="B69" s="5" t="s">
        <v>14</v>
      </c>
      <c r="C69" s="5">
        <v>2.0</v>
      </c>
      <c r="D69" s="5">
        <v>5.031</v>
      </c>
      <c r="E69" s="5">
        <v>3.69</v>
      </c>
      <c r="F69" s="5">
        <f t="shared" si="1"/>
        <v>0.4694096601</v>
      </c>
      <c r="G69" s="5">
        <v>4.12</v>
      </c>
      <c r="H69" s="5">
        <v>4.4</v>
      </c>
    </row>
    <row r="70">
      <c r="A70" s="5">
        <v>23.0</v>
      </c>
      <c r="B70" s="5" t="s">
        <v>14</v>
      </c>
      <c r="C70" s="5">
        <v>3.0</v>
      </c>
      <c r="D70" s="5">
        <v>5.033</v>
      </c>
      <c r="E70" s="5">
        <v>3.76</v>
      </c>
      <c r="F70" s="5">
        <f t="shared" si="1"/>
        <v>0.4781243791</v>
      </c>
      <c r="G70" s="5">
        <v>4.11</v>
      </c>
      <c r="H70" s="5">
        <v>4.6</v>
      </c>
    </row>
    <row r="71">
      <c r="A71" s="5">
        <v>24.0</v>
      </c>
      <c r="B71" s="5" t="s">
        <v>14</v>
      </c>
      <c r="C71" s="5">
        <v>1.0</v>
      </c>
      <c r="D71" s="5">
        <v>5.104</v>
      </c>
      <c r="E71" s="5">
        <v>1.42</v>
      </c>
      <c r="F71" s="5">
        <f t="shared" si="1"/>
        <v>0.1780564263</v>
      </c>
      <c r="G71" s="5">
        <v>4.2</v>
      </c>
      <c r="H71" s="5">
        <v>4.2</v>
      </c>
    </row>
    <row r="72">
      <c r="A72" s="5">
        <v>24.0</v>
      </c>
      <c r="B72" s="5" t="s">
        <v>14</v>
      </c>
      <c r="C72" s="5">
        <v>2.0</v>
      </c>
      <c r="D72" s="5">
        <v>5.112</v>
      </c>
      <c r="E72" s="5">
        <v>1.44</v>
      </c>
      <c r="F72" s="5">
        <f t="shared" si="1"/>
        <v>0.1802816901</v>
      </c>
      <c r="G72" s="5">
        <v>4.32</v>
      </c>
      <c r="H72" s="5">
        <v>4.3</v>
      </c>
    </row>
    <row r="73">
      <c r="A73" s="5">
        <v>24.0</v>
      </c>
      <c r="B73" s="5" t="s">
        <v>14</v>
      </c>
      <c r="C73" s="5">
        <v>3.0</v>
      </c>
      <c r="D73" s="5">
        <v>5.094</v>
      </c>
      <c r="E73" s="5">
        <v>1.47</v>
      </c>
      <c r="F73" s="5">
        <f t="shared" si="1"/>
        <v>0.1846878681</v>
      </c>
      <c r="G73" s="5">
        <v>4.2</v>
      </c>
      <c r="H73" s="5">
        <v>4.4</v>
      </c>
    </row>
    <row r="74">
      <c r="A74" s="5">
        <v>25.0</v>
      </c>
      <c r="B74" s="5" t="s">
        <v>14</v>
      </c>
      <c r="C74" s="5">
        <v>1.0</v>
      </c>
      <c r="D74" s="5">
        <v>5.074</v>
      </c>
      <c r="E74" s="5">
        <v>1.36</v>
      </c>
      <c r="F74" s="5">
        <f t="shared" si="1"/>
        <v>0.1715411904</v>
      </c>
      <c r="G74" s="5">
        <v>4.35</v>
      </c>
      <c r="H74" s="5">
        <v>4.4</v>
      </c>
    </row>
    <row r="75">
      <c r="A75" s="5">
        <v>25.0</v>
      </c>
      <c r="B75" s="5" t="s">
        <v>14</v>
      </c>
      <c r="C75" s="5">
        <v>2.0</v>
      </c>
      <c r="D75" s="5">
        <v>5.038</v>
      </c>
      <c r="E75" s="5">
        <v>1.4</v>
      </c>
      <c r="F75" s="5">
        <f t="shared" si="1"/>
        <v>0.1778483525</v>
      </c>
      <c r="G75" s="5">
        <v>4.36</v>
      </c>
      <c r="H75" s="5">
        <v>4.3</v>
      </c>
    </row>
    <row r="76">
      <c r="A76" s="5">
        <v>25.0</v>
      </c>
      <c r="B76" s="5" t="s">
        <v>14</v>
      </c>
      <c r="C76" s="5">
        <v>3.0</v>
      </c>
      <c r="D76" s="5">
        <v>5.039</v>
      </c>
      <c r="E76" s="5">
        <v>1.49</v>
      </c>
      <c r="F76" s="5">
        <f t="shared" si="1"/>
        <v>0.1892438976</v>
      </c>
      <c r="G76" s="5">
        <v>4.33</v>
      </c>
      <c r="H76" s="5">
        <v>4.4</v>
      </c>
    </row>
    <row r="77">
      <c r="A77" s="5">
        <v>26.0</v>
      </c>
      <c r="B77" s="5" t="s">
        <v>14</v>
      </c>
      <c r="C77" s="5">
        <v>1.0</v>
      </c>
      <c r="D77" s="5">
        <v>5.051</v>
      </c>
      <c r="E77" s="5">
        <v>1.93</v>
      </c>
      <c r="F77" s="5">
        <f t="shared" si="1"/>
        <v>0.2445456345</v>
      </c>
      <c r="G77" s="5">
        <v>4.37</v>
      </c>
      <c r="H77" s="5">
        <v>3.8</v>
      </c>
    </row>
    <row r="78">
      <c r="A78" s="5">
        <v>26.0</v>
      </c>
      <c r="B78" s="5" t="s">
        <v>14</v>
      </c>
      <c r="C78" s="5">
        <v>2.0</v>
      </c>
      <c r="D78" s="5">
        <v>5.012</v>
      </c>
      <c r="E78" s="5">
        <v>1.9</v>
      </c>
      <c r="F78" s="5">
        <f t="shared" si="1"/>
        <v>0.2426177175</v>
      </c>
      <c r="G78" s="5">
        <v>4.39</v>
      </c>
      <c r="H78" s="5">
        <v>3.8</v>
      </c>
    </row>
    <row r="79">
      <c r="A79" s="5">
        <v>26.0</v>
      </c>
      <c r="B79" s="5" t="s">
        <v>14</v>
      </c>
      <c r="C79" s="5">
        <v>3.0</v>
      </c>
      <c r="D79" s="5">
        <v>5.047</v>
      </c>
      <c r="E79" s="5">
        <v>1.94</v>
      </c>
      <c r="F79" s="5">
        <f t="shared" si="1"/>
        <v>0.2460075292</v>
      </c>
      <c r="G79" s="5">
        <v>4.35</v>
      </c>
      <c r="H79" s="5">
        <v>3.7</v>
      </c>
    </row>
    <row r="80">
      <c r="A80" s="5">
        <v>27.0</v>
      </c>
      <c r="B80" s="5" t="s">
        <v>14</v>
      </c>
      <c r="C80" s="5">
        <v>1.0</v>
      </c>
      <c r="D80" s="5">
        <v>5.111</v>
      </c>
      <c r="E80" s="5">
        <v>2.31</v>
      </c>
      <c r="F80" s="5">
        <f t="shared" si="1"/>
        <v>0.2892584621</v>
      </c>
      <c r="G80" s="5">
        <v>4.38</v>
      </c>
      <c r="H80" s="5">
        <v>4.5</v>
      </c>
    </row>
    <row r="81">
      <c r="A81" s="5">
        <v>27.0</v>
      </c>
      <c r="B81" s="5" t="s">
        <v>14</v>
      </c>
      <c r="C81" s="5">
        <v>2.0</v>
      </c>
      <c r="D81" s="5">
        <v>5.026</v>
      </c>
      <c r="E81" s="5">
        <v>2.36</v>
      </c>
      <c r="F81" s="5">
        <f t="shared" si="1"/>
        <v>0.30051731</v>
      </c>
      <c r="G81" s="5">
        <v>4.62</v>
      </c>
      <c r="H81" s="5">
        <v>4.7</v>
      </c>
    </row>
    <row r="82">
      <c r="A82" s="5">
        <v>27.0</v>
      </c>
      <c r="B82" s="5" t="s">
        <v>14</v>
      </c>
      <c r="C82" s="5">
        <v>3.0</v>
      </c>
      <c r="D82" s="5">
        <v>5.095</v>
      </c>
      <c r="E82" s="5">
        <v>2.39</v>
      </c>
      <c r="F82" s="5">
        <f t="shared" si="1"/>
        <v>0.3002158979</v>
      </c>
      <c r="G82" s="5">
        <v>4.57</v>
      </c>
      <c r="H82" s="5">
        <v>4.6</v>
      </c>
    </row>
    <row r="83">
      <c r="A83" s="5">
        <v>28.0</v>
      </c>
      <c r="B83" s="5" t="s">
        <v>14</v>
      </c>
      <c r="C83" s="5">
        <v>1.0</v>
      </c>
      <c r="D83" s="5">
        <v>5.023</v>
      </c>
      <c r="E83" s="5">
        <v>2.62</v>
      </c>
      <c r="F83" s="5">
        <f t="shared" si="1"/>
        <v>0.3338244077</v>
      </c>
      <c r="G83" s="5">
        <v>4.43</v>
      </c>
      <c r="H83" s="5">
        <v>4.1</v>
      </c>
    </row>
    <row r="84">
      <c r="A84" s="5">
        <v>28.0</v>
      </c>
      <c r="B84" s="5" t="s">
        <v>14</v>
      </c>
      <c r="C84" s="5">
        <v>2.0</v>
      </c>
      <c r="D84" s="5">
        <v>5.06</v>
      </c>
      <c r="E84" s="5">
        <v>2.79</v>
      </c>
      <c r="F84" s="5">
        <f t="shared" si="1"/>
        <v>0.3528853755</v>
      </c>
      <c r="G84" s="5">
        <v>4.37</v>
      </c>
      <c r="H84" s="5">
        <v>4.2</v>
      </c>
    </row>
    <row r="85">
      <c r="A85" s="5">
        <v>28.0</v>
      </c>
      <c r="B85" s="5" t="s">
        <v>14</v>
      </c>
      <c r="C85" s="5">
        <v>3.0</v>
      </c>
      <c r="D85" s="5">
        <v>5.011</v>
      </c>
      <c r="E85" s="5">
        <v>2.79</v>
      </c>
      <c r="F85" s="5">
        <f t="shared" si="1"/>
        <v>0.3563360607</v>
      </c>
      <c r="G85" s="5">
        <v>4.39</v>
      </c>
      <c r="H85" s="5">
        <v>4.2</v>
      </c>
    </row>
    <row r="86">
      <c r="A86" s="5">
        <v>29.0</v>
      </c>
      <c r="B86" s="5" t="s">
        <v>14</v>
      </c>
      <c r="C86" s="5">
        <v>1.0</v>
      </c>
      <c r="D86" s="5">
        <v>5.05</v>
      </c>
      <c r="E86" s="5">
        <v>2.11</v>
      </c>
      <c r="F86" s="5">
        <f t="shared" si="1"/>
        <v>0.2674059406</v>
      </c>
      <c r="G86" s="5">
        <v>4.43</v>
      </c>
      <c r="H86" s="5">
        <v>4.42</v>
      </c>
    </row>
    <row r="87">
      <c r="A87" s="5">
        <v>29.0</v>
      </c>
      <c r="B87" s="5" t="s">
        <v>14</v>
      </c>
      <c r="C87" s="5">
        <v>2.0</v>
      </c>
      <c r="D87" s="5">
        <v>5.013</v>
      </c>
      <c r="E87" s="5">
        <v>2.04</v>
      </c>
      <c r="F87" s="5">
        <f t="shared" si="1"/>
        <v>0.2604428486</v>
      </c>
      <c r="G87" s="5">
        <v>4.41</v>
      </c>
      <c r="H87" s="5">
        <v>4.0</v>
      </c>
    </row>
    <row r="88">
      <c r="A88" s="5">
        <v>29.0</v>
      </c>
      <c r="B88" s="5" t="s">
        <v>14</v>
      </c>
      <c r="C88" s="5">
        <v>3.0</v>
      </c>
      <c r="D88" s="5">
        <v>5.07</v>
      </c>
      <c r="E88" s="5">
        <v>2.16</v>
      </c>
      <c r="F88" s="5">
        <f t="shared" si="1"/>
        <v>0.2726627219</v>
      </c>
      <c r="G88" s="5">
        <v>4.45</v>
      </c>
      <c r="H88" s="5">
        <v>4.0</v>
      </c>
    </row>
    <row r="89">
      <c r="A89" s="5">
        <v>30.0</v>
      </c>
      <c r="B89" s="5" t="s">
        <v>14</v>
      </c>
      <c r="C89" s="5">
        <v>1.0</v>
      </c>
      <c r="D89" s="5">
        <v>5.084</v>
      </c>
      <c r="E89" s="5">
        <v>2.52</v>
      </c>
      <c r="F89" s="5">
        <f t="shared" si="1"/>
        <v>0.3172305271</v>
      </c>
      <c r="G89" s="5">
        <v>4.34</v>
      </c>
      <c r="H89" s="5">
        <v>4.2</v>
      </c>
    </row>
    <row r="90">
      <c r="A90" s="5">
        <v>30.0</v>
      </c>
      <c r="B90" s="5" t="s">
        <v>14</v>
      </c>
      <c r="C90" s="5">
        <v>2.0</v>
      </c>
      <c r="D90" s="5">
        <v>5.093</v>
      </c>
      <c r="E90" s="5">
        <v>2.55</v>
      </c>
      <c r="F90" s="5">
        <f t="shared" si="1"/>
        <v>0.3204398194</v>
      </c>
      <c r="G90" s="5">
        <v>4.31</v>
      </c>
      <c r="H90" s="5">
        <v>4.2</v>
      </c>
    </row>
    <row r="91">
      <c r="A91" s="5">
        <v>30.0</v>
      </c>
      <c r="B91" s="5" t="s">
        <v>14</v>
      </c>
      <c r="C91" s="5">
        <v>3.0</v>
      </c>
      <c r="D91" s="5">
        <v>5.011</v>
      </c>
      <c r="E91" s="5">
        <v>2.54</v>
      </c>
      <c r="F91" s="5">
        <f t="shared" si="1"/>
        <v>0.3244063061</v>
      </c>
      <c r="G91" s="5">
        <v>4.3</v>
      </c>
      <c r="H91" s="5">
        <v>4.2</v>
      </c>
    </row>
    <row r="92">
      <c r="A92" s="5">
        <v>31.0</v>
      </c>
      <c r="B92" s="5" t="s">
        <v>14</v>
      </c>
      <c r="C92" s="5">
        <v>1.0</v>
      </c>
      <c r="D92" s="5">
        <v>5.002</v>
      </c>
      <c r="E92" s="5">
        <v>2.14</v>
      </c>
      <c r="F92" s="5">
        <f t="shared" si="1"/>
        <v>0.2738104758</v>
      </c>
      <c r="G92" s="5">
        <v>4.27</v>
      </c>
      <c r="H92" s="5">
        <v>4.3</v>
      </c>
    </row>
    <row r="93">
      <c r="A93" s="5">
        <v>31.0</v>
      </c>
      <c r="B93" s="5" t="s">
        <v>14</v>
      </c>
      <c r="C93" s="5">
        <v>2.0</v>
      </c>
      <c r="D93" s="5">
        <v>5.066</v>
      </c>
      <c r="E93" s="5">
        <v>2.1</v>
      </c>
      <c r="F93" s="5">
        <f t="shared" si="1"/>
        <v>0.2652980655</v>
      </c>
      <c r="G93" s="5">
        <v>4.28</v>
      </c>
      <c r="H93" s="5">
        <v>4.3</v>
      </c>
    </row>
    <row r="94">
      <c r="A94" s="5">
        <v>31.0</v>
      </c>
      <c r="B94" s="5" t="s">
        <v>14</v>
      </c>
      <c r="C94" s="5">
        <v>3.0</v>
      </c>
      <c r="D94" s="5">
        <v>5.037</v>
      </c>
      <c r="E94" s="5">
        <v>2.11</v>
      </c>
      <c r="F94" s="5">
        <f t="shared" si="1"/>
        <v>0.2680960889</v>
      </c>
      <c r="G94" s="5">
        <v>4.3</v>
      </c>
      <c r="H94" s="5">
        <v>4.2</v>
      </c>
    </row>
    <row r="95">
      <c r="A95" s="5">
        <v>32.0</v>
      </c>
      <c r="B95" s="5" t="s">
        <v>14</v>
      </c>
      <c r="C95" s="5">
        <v>1.0</v>
      </c>
      <c r="D95" s="5">
        <v>5.017</v>
      </c>
      <c r="E95" s="5">
        <v>1.56</v>
      </c>
      <c r="F95" s="5">
        <f t="shared" si="1"/>
        <v>0.1990033885</v>
      </c>
      <c r="G95" s="5">
        <v>4.6</v>
      </c>
      <c r="H95" s="5">
        <v>3.3</v>
      </c>
    </row>
    <row r="96">
      <c r="A96" s="5">
        <v>32.0</v>
      </c>
      <c r="B96" s="5" t="s">
        <v>14</v>
      </c>
      <c r="C96" s="5">
        <v>2.0</v>
      </c>
      <c r="D96" s="5">
        <v>5.067</v>
      </c>
      <c r="E96" s="5">
        <v>1.42</v>
      </c>
      <c r="F96" s="5">
        <f t="shared" si="1"/>
        <v>0.1793566213</v>
      </c>
      <c r="G96" s="5">
        <v>4.55</v>
      </c>
      <c r="H96" s="5">
        <v>3.4</v>
      </c>
    </row>
    <row r="97">
      <c r="A97" s="5">
        <v>32.0</v>
      </c>
      <c r="B97" s="5" t="s">
        <v>14</v>
      </c>
      <c r="C97" s="5">
        <v>3.0</v>
      </c>
      <c r="D97" s="5">
        <v>5.0</v>
      </c>
      <c r="E97" s="5">
        <v>1.41</v>
      </c>
      <c r="F97" s="5">
        <f t="shared" si="1"/>
        <v>0.18048</v>
      </c>
      <c r="G97" s="5">
        <v>4.54</v>
      </c>
      <c r="H97" s="5">
        <v>3.5</v>
      </c>
    </row>
    <row r="98">
      <c r="A98" s="5">
        <v>33.0</v>
      </c>
      <c r="B98" s="5" t="s">
        <v>14</v>
      </c>
      <c r="C98" s="5">
        <v>1.0</v>
      </c>
      <c r="D98" s="5">
        <v>4.998</v>
      </c>
      <c r="E98" s="5">
        <v>1.6</v>
      </c>
      <c r="F98" s="5">
        <f t="shared" si="1"/>
        <v>0.2048819528</v>
      </c>
      <c r="G98" s="5">
        <v>4.52</v>
      </c>
      <c r="H98" s="5">
        <v>4.2</v>
      </c>
    </row>
    <row r="99">
      <c r="A99" s="5">
        <v>33.0</v>
      </c>
      <c r="B99" s="5" t="s">
        <v>14</v>
      </c>
      <c r="C99" s="5">
        <v>2.0</v>
      </c>
      <c r="D99" s="5">
        <v>5.007</v>
      </c>
      <c r="E99" s="5">
        <v>1.59</v>
      </c>
      <c r="F99" s="5">
        <f t="shared" si="1"/>
        <v>0.2032354703</v>
      </c>
      <c r="G99" s="5">
        <v>4.56</v>
      </c>
      <c r="H99" s="5">
        <v>4.0</v>
      </c>
    </row>
    <row r="100">
      <c r="A100" s="5">
        <v>33.0</v>
      </c>
      <c r="B100" s="5" t="s">
        <v>14</v>
      </c>
      <c r="C100" s="5">
        <v>3.0</v>
      </c>
      <c r="D100" s="5">
        <v>5.021</v>
      </c>
      <c r="E100" s="5">
        <v>1.49</v>
      </c>
      <c r="F100" s="5">
        <f t="shared" si="1"/>
        <v>0.1899223262</v>
      </c>
      <c r="G100" s="5">
        <v>4.65</v>
      </c>
      <c r="H100" s="5">
        <v>4.0</v>
      </c>
    </row>
    <row r="101">
      <c r="A101" s="5">
        <v>34.0</v>
      </c>
      <c r="B101" s="5" t="s">
        <v>14</v>
      </c>
      <c r="C101" s="5">
        <v>1.0</v>
      </c>
      <c r="D101" s="5">
        <v>4.997</v>
      </c>
      <c r="E101" s="5">
        <v>1.51</v>
      </c>
      <c r="F101" s="5">
        <f t="shared" si="1"/>
        <v>0.1933960376</v>
      </c>
      <c r="G101" s="5">
        <v>4.64</v>
      </c>
      <c r="H101" s="5">
        <v>3.9</v>
      </c>
    </row>
    <row r="102">
      <c r="A102" s="5">
        <v>34.0</v>
      </c>
      <c r="B102" s="5" t="s">
        <v>14</v>
      </c>
      <c r="C102" s="5">
        <v>2.0</v>
      </c>
      <c r="D102" s="5">
        <v>5.039</v>
      </c>
      <c r="E102" s="5">
        <v>1.38</v>
      </c>
      <c r="F102" s="5">
        <f t="shared" si="1"/>
        <v>0.1752728716</v>
      </c>
      <c r="G102" s="5">
        <v>4.72</v>
      </c>
      <c r="H102" s="5">
        <v>4.0</v>
      </c>
    </row>
    <row r="103">
      <c r="A103" s="5">
        <v>34.0</v>
      </c>
      <c r="B103" s="5" t="s">
        <v>14</v>
      </c>
      <c r="C103" s="5">
        <v>3.0</v>
      </c>
      <c r="D103" s="5">
        <v>5.07</v>
      </c>
      <c r="E103" s="5">
        <v>1.32</v>
      </c>
      <c r="F103" s="5">
        <f t="shared" si="1"/>
        <v>0.1666272189</v>
      </c>
      <c r="G103" s="5">
        <v>4.67</v>
      </c>
      <c r="H103" s="5">
        <v>3.9</v>
      </c>
    </row>
    <row r="104">
      <c r="A104" s="5">
        <v>35.0</v>
      </c>
      <c r="B104" s="5" t="s">
        <v>14</v>
      </c>
      <c r="C104" s="5">
        <v>1.0</v>
      </c>
      <c r="D104" s="5">
        <v>5.078</v>
      </c>
      <c r="E104" s="5">
        <v>1.77</v>
      </c>
      <c r="F104" s="5">
        <f t="shared" si="1"/>
        <v>0.2230799527</v>
      </c>
      <c r="G104" s="5">
        <v>4.58</v>
      </c>
      <c r="H104" s="5">
        <v>3.9</v>
      </c>
    </row>
    <row r="105">
      <c r="A105" s="5">
        <v>35.0</v>
      </c>
      <c r="B105" s="5" t="s">
        <v>14</v>
      </c>
      <c r="C105" s="5">
        <v>2.0</v>
      </c>
      <c r="D105" s="5">
        <v>5.062</v>
      </c>
      <c r="E105" s="5">
        <v>1.71</v>
      </c>
      <c r="F105" s="5">
        <f t="shared" si="1"/>
        <v>0.2161991308</v>
      </c>
      <c r="G105" s="5">
        <v>4.52</v>
      </c>
      <c r="H105" s="5">
        <v>3.9</v>
      </c>
    </row>
    <row r="106">
      <c r="A106" s="5">
        <v>35.0</v>
      </c>
      <c r="B106" s="5" t="s">
        <v>14</v>
      </c>
      <c r="C106" s="5">
        <v>3.0</v>
      </c>
      <c r="D106" s="5">
        <v>5.047</v>
      </c>
      <c r="E106" s="5">
        <v>1.73</v>
      </c>
      <c r="F106" s="5">
        <f t="shared" si="1"/>
        <v>0.2193778482</v>
      </c>
      <c r="G106" s="5">
        <v>4.51</v>
      </c>
      <c r="H106" s="5">
        <v>4.0</v>
      </c>
    </row>
    <row r="107">
      <c r="A107" s="5">
        <v>36.0</v>
      </c>
      <c r="B107" s="5" t="s">
        <v>14</v>
      </c>
      <c r="C107" s="5">
        <v>1.0</v>
      </c>
      <c r="D107" s="5">
        <v>4.994</v>
      </c>
      <c r="E107" s="5">
        <v>2.22</v>
      </c>
      <c r="F107" s="5">
        <f t="shared" si="1"/>
        <v>0.2845014017</v>
      </c>
      <c r="G107" s="5">
        <v>4.34</v>
      </c>
      <c r="H107" s="5">
        <v>4.3</v>
      </c>
    </row>
    <row r="108">
      <c r="A108" s="5">
        <v>36.0</v>
      </c>
      <c r="B108" s="5" t="s">
        <v>14</v>
      </c>
      <c r="C108" s="5">
        <v>2.0</v>
      </c>
      <c r="D108" s="5">
        <v>5.053</v>
      </c>
      <c r="E108" s="5">
        <v>2.29</v>
      </c>
      <c r="F108" s="5">
        <f t="shared" si="1"/>
        <v>0.2900455175</v>
      </c>
      <c r="G108" s="5">
        <v>4.34</v>
      </c>
      <c r="H108" s="5">
        <v>4.5</v>
      </c>
    </row>
    <row r="109">
      <c r="A109" s="5">
        <v>36.0</v>
      </c>
      <c r="B109" s="5" t="s">
        <v>14</v>
      </c>
      <c r="C109" s="5">
        <v>3.0</v>
      </c>
      <c r="D109" s="5">
        <v>5.082</v>
      </c>
      <c r="E109" s="5">
        <v>2.32</v>
      </c>
      <c r="F109" s="5">
        <f t="shared" si="1"/>
        <v>0.2921684376</v>
      </c>
      <c r="G109" s="5">
        <v>4.29</v>
      </c>
      <c r="H109" s="5">
        <v>4.5</v>
      </c>
    </row>
    <row r="110">
      <c r="A110" s="5">
        <v>37.0</v>
      </c>
      <c r="B110" s="5" t="s">
        <v>14</v>
      </c>
      <c r="C110" s="5">
        <v>1.0</v>
      </c>
      <c r="D110" s="5">
        <v>5.084</v>
      </c>
      <c r="E110" s="5">
        <v>2.81</v>
      </c>
      <c r="F110" s="5">
        <f t="shared" si="1"/>
        <v>0.3537372148</v>
      </c>
      <c r="G110" s="5">
        <v>4.28</v>
      </c>
      <c r="H110" s="5">
        <v>4.4</v>
      </c>
    </row>
    <row r="111">
      <c r="A111" s="5">
        <v>37.0</v>
      </c>
      <c r="B111" s="5" t="s">
        <v>14</v>
      </c>
      <c r="C111" s="5">
        <v>2.0</v>
      </c>
      <c r="D111" s="5">
        <v>5.054</v>
      </c>
      <c r="E111" s="5">
        <v>2.89</v>
      </c>
      <c r="F111" s="5">
        <f t="shared" si="1"/>
        <v>0.3659675505</v>
      </c>
      <c r="G111" s="5">
        <v>4.26</v>
      </c>
      <c r="H111" s="5">
        <v>4.5</v>
      </c>
    </row>
    <row r="112">
      <c r="A112" s="5">
        <v>37.0</v>
      </c>
      <c r="B112" s="5" t="s">
        <v>14</v>
      </c>
      <c r="C112" s="5">
        <v>3.0</v>
      </c>
      <c r="D112" s="5">
        <v>5.046</v>
      </c>
      <c r="E112" s="5">
        <v>2.79</v>
      </c>
      <c r="F112" s="5">
        <f t="shared" si="1"/>
        <v>0.3538644471</v>
      </c>
      <c r="G112" s="5">
        <v>4.29</v>
      </c>
      <c r="H112" s="5">
        <v>4.4</v>
      </c>
    </row>
    <row r="113">
      <c r="A113" s="5">
        <v>38.0</v>
      </c>
      <c r="B113" s="5" t="s">
        <v>14</v>
      </c>
      <c r="C113" s="5">
        <v>1.0</v>
      </c>
      <c r="D113" s="5">
        <v>5.065</v>
      </c>
      <c r="E113" s="5">
        <v>1.97</v>
      </c>
      <c r="F113" s="5">
        <f t="shared" si="1"/>
        <v>0.2489239882</v>
      </c>
      <c r="G113" s="5">
        <v>4.4</v>
      </c>
      <c r="H113" s="5">
        <v>4.3</v>
      </c>
    </row>
    <row r="114">
      <c r="A114" s="5">
        <v>38.0</v>
      </c>
      <c r="B114" s="5" t="s">
        <v>14</v>
      </c>
      <c r="C114" s="5">
        <v>2.0</v>
      </c>
      <c r="D114" s="5">
        <v>5.05</v>
      </c>
      <c r="E114" s="5">
        <v>1.91</v>
      </c>
      <c r="F114" s="5">
        <f t="shared" si="1"/>
        <v>0.2420594059</v>
      </c>
      <c r="G114" s="5">
        <v>4.43</v>
      </c>
      <c r="H114" s="5">
        <v>4.1</v>
      </c>
    </row>
    <row r="115">
      <c r="A115" s="5">
        <v>38.0</v>
      </c>
      <c r="B115" s="5" t="s">
        <v>14</v>
      </c>
      <c r="C115" s="5">
        <v>3.0</v>
      </c>
      <c r="D115" s="5">
        <v>5.07</v>
      </c>
      <c r="E115" s="5">
        <v>1.95</v>
      </c>
      <c r="F115" s="5">
        <f t="shared" si="1"/>
        <v>0.2461538462</v>
      </c>
      <c r="G115" s="5">
        <v>4.5</v>
      </c>
      <c r="H115" s="5">
        <v>4.2</v>
      </c>
    </row>
    <row r="116">
      <c r="A116" s="5">
        <v>39.0</v>
      </c>
      <c r="B116" s="5" t="s">
        <v>14</v>
      </c>
      <c r="C116" s="5">
        <v>1.0</v>
      </c>
      <c r="D116" s="5">
        <v>5.026</v>
      </c>
      <c r="E116" s="5">
        <v>1.47</v>
      </c>
      <c r="F116" s="5">
        <f t="shared" si="1"/>
        <v>0.1871866295</v>
      </c>
      <c r="G116" s="5">
        <v>4.52</v>
      </c>
      <c r="H116" s="5">
        <v>4.4</v>
      </c>
    </row>
    <row r="117">
      <c r="A117" s="5">
        <v>39.0</v>
      </c>
      <c r="B117" s="5" t="s">
        <v>14</v>
      </c>
      <c r="C117" s="5">
        <v>2.0</v>
      </c>
      <c r="D117" s="5">
        <v>5.091</v>
      </c>
      <c r="E117" s="5">
        <v>1.74</v>
      </c>
      <c r="F117" s="5">
        <f t="shared" si="1"/>
        <v>0.2187389511</v>
      </c>
      <c r="G117" s="5">
        <v>4.48</v>
      </c>
      <c r="H117" s="5">
        <v>4.3</v>
      </c>
    </row>
    <row r="118">
      <c r="A118" s="5">
        <v>39.0</v>
      </c>
      <c r="B118" s="5" t="s">
        <v>14</v>
      </c>
      <c r="C118" s="5">
        <v>3.0</v>
      </c>
      <c r="D118" s="5">
        <v>5.007</v>
      </c>
      <c r="E118" s="5">
        <v>1.61</v>
      </c>
      <c r="F118" s="5">
        <f t="shared" si="1"/>
        <v>0.2057918914</v>
      </c>
      <c r="G118" s="5">
        <v>4.45</v>
      </c>
      <c r="H118" s="5">
        <v>4.3</v>
      </c>
    </row>
    <row r="119">
      <c r="A119" s="5">
        <v>40.0</v>
      </c>
      <c r="B119" s="5" t="s">
        <v>14</v>
      </c>
      <c r="C119" s="5">
        <v>1.0</v>
      </c>
      <c r="D119" s="5">
        <v>5.003</v>
      </c>
      <c r="E119" s="5">
        <v>2.05</v>
      </c>
      <c r="F119" s="5">
        <f t="shared" si="1"/>
        <v>0.2622426544</v>
      </c>
      <c r="G119" s="5">
        <v>4.43</v>
      </c>
      <c r="H119" s="5">
        <v>4.2</v>
      </c>
    </row>
    <row r="120">
      <c r="A120" s="5">
        <v>40.0</v>
      </c>
      <c r="B120" s="5" t="s">
        <v>14</v>
      </c>
      <c r="C120" s="5">
        <v>2.0</v>
      </c>
      <c r="D120" s="5">
        <v>5.047</v>
      </c>
      <c r="E120" s="5">
        <v>2.09</v>
      </c>
      <c r="F120" s="5">
        <f t="shared" si="1"/>
        <v>0.2650287299</v>
      </c>
      <c r="G120" s="5">
        <v>4.47</v>
      </c>
      <c r="H120" s="5">
        <v>4.0</v>
      </c>
    </row>
    <row r="121">
      <c r="A121" s="5">
        <v>40.0</v>
      </c>
      <c r="B121" s="5" t="s">
        <v>14</v>
      </c>
      <c r="C121" s="5">
        <v>3.0</v>
      </c>
      <c r="D121" s="5">
        <v>5.028</v>
      </c>
      <c r="E121" s="5">
        <v>1.98</v>
      </c>
      <c r="F121" s="5">
        <f t="shared" si="1"/>
        <v>0.2520286396</v>
      </c>
      <c r="G121" s="5">
        <v>4.45</v>
      </c>
      <c r="H121" s="5">
        <v>4.1</v>
      </c>
    </row>
    <row r="122">
      <c r="A122" s="5">
        <v>41.0</v>
      </c>
      <c r="B122" s="5" t="s">
        <v>14</v>
      </c>
      <c r="C122" s="5">
        <v>1.0</v>
      </c>
      <c r="D122" s="5">
        <v>5.023</v>
      </c>
      <c r="E122" s="5">
        <v>2.39</v>
      </c>
      <c r="F122" s="5">
        <f t="shared" si="1"/>
        <v>0.3045192116</v>
      </c>
      <c r="G122" s="5">
        <v>4.4</v>
      </c>
      <c r="H122" s="5">
        <v>4.4</v>
      </c>
    </row>
    <row r="123">
      <c r="A123" s="5">
        <v>41.0</v>
      </c>
      <c r="B123" s="5" t="s">
        <v>14</v>
      </c>
      <c r="C123" s="5">
        <v>2.0</v>
      </c>
      <c r="D123" s="5">
        <v>5.047</v>
      </c>
      <c r="E123" s="5">
        <v>2.38</v>
      </c>
      <c r="F123" s="5">
        <f t="shared" si="1"/>
        <v>0.3018030513</v>
      </c>
      <c r="G123" s="5">
        <v>4.39</v>
      </c>
      <c r="H123" s="5">
        <v>4.6</v>
      </c>
    </row>
    <row r="124">
      <c r="A124" s="5">
        <v>41.0</v>
      </c>
      <c r="B124" s="5" t="s">
        <v>14</v>
      </c>
      <c r="C124" s="5">
        <v>3.0</v>
      </c>
      <c r="D124" s="5">
        <v>5.075</v>
      </c>
      <c r="E124" s="5">
        <v>2.37</v>
      </c>
      <c r="F124" s="5">
        <f t="shared" si="1"/>
        <v>0.2988768473</v>
      </c>
      <c r="G124" s="5">
        <v>4.39</v>
      </c>
      <c r="H124" s="5">
        <v>4.6</v>
      </c>
    </row>
    <row r="125">
      <c r="A125" s="5">
        <v>42.0</v>
      </c>
      <c r="B125" s="5" t="s">
        <v>14</v>
      </c>
      <c r="C125" s="5">
        <v>1.0</v>
      </c>
      <c r="D125" s="5">
        <v>4.998</v>
      </c>
      <c r="E125" s="5">
        <v>2.77</v>
      </c>
      <c r="F125" s="5">
        <f t="shared" si="1"/>
        <v>0.3547018808</v>
      </c>
      <c r="G125" s="5">
        <v>4.26</v>
      </c>
      <c r="H125" s="5">
        <v>3.9</v>
      </c>
    </row>
    <row r="126">
      <c r="A126" s="5">
        <v>42.0</v>
      </c>
      <c r="B126" s="5" t="s">
        <v>14</v>
      </c>
      <c r="C126" s="5">
        <v>2.0</v>
      </c>
      <c r="D126" s="5">
        <v>5.008</v>
      </c>
      <c r="E126" s="5">
        <v>2.63</v>
      </c>
      <c r="F126" s="5">
        <f t="shared" si="1"/>
        <v>0.3361022364</v>
      </c>
      <c r="G126" s="5">
        <v>4.2</v>
      </c>
      <c r="H126" s="5">
        <v>3.8</v>
      </c>
    </row>
    <row r="127">
      <c r="A127" s="5">
        <v>42.0</v>
      </c>
      <c r="B127" s="5" t="s">
        <v>14</v>
      </c>
      <c r="C127" s="5">
        <v>3.0</v>
      </c>
      <c r="D127" s="5">
        <v>5.018</v>
      </c>
      <c r="E127" s="5">
        <v>2.48</v>
      </c>
      <c r="F127" s="5">
        <f t="shared" si="1"/>
        <v>0.3163013153</v>
      </c>
      <c r="G127" s="5">
        <v>4.25</v>
      </c>
      <c r="H127" s="5">
        <v>3.9</v>
      </c>
    </row>
    <row r="128">
      <c r="A128" s="5">
        <v>43.0</v>
      </c>
      <c r="B128" s="5" t="s">
        <v>14</v>
      </c>
      <c r="C128" s="5">
        <v>1.0</v>
      </c>
      <c r="D128" s="5">
        <v>5.088</v>
      </c>
      <c r="E128" s="5">
        <v>2.21</v>
      </c>
      <c r="F128" s="5">
        <f t="shared" si="1"/>
        <v>0.2779874214</v>
      </c>
      <c r="G128" s="5">
        <v>4.27</v>
      </c>
      <c r="H128" s="5">
        <v>3.7</v>
      </c>
    </row>
    <row r="129">
      <c r="A129" s="5">
        <v>43.0</v>
      </c>
      <c r="B129" s="5" t="s">
        <v>14</v>
      </c>
      <c r="C129" s="5">
        <v>2.0</v>
      </c>
      <c r="D129" s="5">
        <v>5.012</v>
      </c>
      <c r="E129" s="5">
        <v>2.19</v>
      </c>
      <c r="F129" s="5">
        <f t="shared" si="1"/>
        <v>0.2796488428</v>
      </c>
      <c r="G129" s="5">
        <v>4.28</v>
      </c>
      <c r="H129" s="5">
        <v>3.4</v>
      </c>
    </row>
    <row r="130">
      <c r="A130" s="5">
        <v>43.0</v>
      </c>
      <c r="B130" s="5" t="s">
        <v>14</v>
      </c>
      <c r="C130" s="5">
        <v>3.0</v>
      </c>
      <c r="D130" s="5">
        <v>5.018</v>
      </c>
      <c r="E130" s="5">
        <v>2.18</v>
      </c>
      <c r="F130" s="5">
        <f t="shared" si="1"/>
        <v>0.2780390594</v>
      </c>
      <c r="G130" s="5">
        <v>4.26</v>
      </c>
      <c r="H130" s="5">
        <v>3.6</v>
      </c>
    </row>
    <row r="131">
      <c r="A131" s="5">
        <v>44.0</v>
      </c>
      <c r="B131" s="5" t="s">
        <v>14</v>
      </c>
      <c r="C131" s="5">
        <v>1.0</v>
      </c>
      <c r="D131" s="5">
        <v>5.053</v>
      </c>
      <c r="E131" s="5">
        <v>2.08</v>
      </c>
      <c r="F131" s="5">
        <f t="shared" si="1"/>
        <v>0.263447457</v>
      </c>
      <c r="G131" s="5">
        <v>4.48</v>
      </c>
      <c r="H131" s="5">
        <v>4.1</v>
      </c>
    </row>
    <row r="132">
      <c r="A132" s="5">
        <v>44.0</v>
      </c>
      <c r="B132" s="5" t="s">
        <v>14</v>
      </c>
      <c r="C132" s="5">
        <v>2.0</v>
      </c>
      <c r="D132" s="5">
        <v>5.012</v>
      </c>
      <c r="E132" s="5">
        <v>1.99</v>
      </c>
      <c r="F132" s="5">
        <f t="shared" si="1"/>
        <v>0.2541101357</v>
      </c>
      <c r="G132" s="5">
        <v>4.45</v>
      </c>
      <c r="H132" s="5">
        <v>4.1</v>
      </c>
    </row>
    <row r="133">
      <c r="A133" s="5">
        <v>44.0</v>
      </c>
      <c r="B133" s="5" t="s">
        <v>14</v>
      </c>
      <c r="C133" s="5">
        <v>3.0</v>
      </c>
      <c r="D133" s="5">
        <v>5.022</v>
      </c>
      <c r="E133" s="5">
        <v>2.0</v>
      </c>
      <c r="F133" s="5">
        <f t="shared" si="1"/>
        <v>0.2548785344</v>
      </c>
      <c r="G133" s="5">
        <v>4.45</v>
      </c>
      <c r="H133" s="5">
        <v>4.1</v>
      </c>
    </row>
    <row r="134">
      <c r="A134" s="5">
        <v>45.0</v>
      </c>
      <c r="B134" s="5" t="s">
        <v>15</v>
      </c>
      <c r="C134" s="5">
        <v>1.0</v>
      </c>
      <c r="D134" s="5">
        <v>5.086</v>
      </c>
      <c r="E134" s="5">
        <v>0.37</v>
      </c>
      <c r="F134" s="5">
        <f t="shared" si="1"/>
        <v>0.04655918207</v>
      </c>
      <c r="G134" s="5">
        <v>4.45</v>
      </c>
      <c r="H134" s="5">
        <v>4.3</v>
      </c>
    </row>
    <row r="135">
      <c r="A135" s="5">
        <v>45.0</v>
      </c>
      <c r="B135" s="5" t="s">
        <v>15</v>
      </c>
      <c r="C135" s="5">
        <v>2.0</v>
      </c>
      <c r="D135" s="5">
        <v>5.046</v>
      </c>
      <c r="E135" s="5">
        <v>0.39</v>
      </c>
      <c r="F135" s="5">
        <f t="shared" si="1"/>
        <v>0.04946492271</v>
      </c>
      <c r="G135" s="5">
        <v>4.4</v>
      </c>
      <c r="H135" s="5">
        <v>4.2</v>
      </c>
    </row>
    <row r="136">
      <c r="A136" s="5">
        <v>45.0</v>
      </c>
      <c r="B136" s="5" t="s">
        <v>15</v>
      </c>
      <c r="C136" s="5">
        <v>3.0</v>
      </c>
      <c r="D136" s="5">
        <v>5.069</v>
      </c>
      <c r="E136" s="5">
        <v>0.5</v>
      </c>
      <c r="F136" s="5">
        <f t="shared" si="1"/>
        <v>0.06312882225</v>
      </c>
      <c r="G136" s="5">
        <v>4.4</v>
      </c>
      <c r="H136" s="5">
        <v>4.3</v>
      </c>
    </row>
    <row r="137">
      <c r="A137" s="5">
        <v>46.0</v>
      </c>
      <c r="B137" s="5" t="s">
        <v>15</v>
      </c>
      <c r="C137" s="5">
        <v>1.0</v>
      </c>
      <c r="D137" s="5">
        <v>5.067</v>
      </c>
      <c r="E137" s="5">
        <v>0.38</v>
      </c>
      <c r="F137" s="5">
        <f t="shared" si="1"/>
        <v>0.04799684231</v>
      </c>
      <c r="G137" s="5">
        <v>4.61</v>
      </c>
      <c r="H137" s="5">
        <v>3.8</v>
      </c>
    </row>
    <row r="138">
      <c r="A138" s="5">
        <v>46.0</v>
      </c>
      <c r="B138" s="5" t="s">
        <v>15</v>
      </c>
      <c r="C138" s="5">
        <v>2.0</v>
      </c>
      <c r="D138" s="5">
        <v>4.996</v>
      </c>
      <c r="E138" s="5">
        <v>0.46</v>
      </c>
      <c r="F138" s="5">
        <f t="shared" si="1"/>
        <v>0.05892714171</v>
      </c>
      <c r="G138" s="5">
        <v>4.6</v>
      </c>
      <c r="H138" s="5">
        <v>3.6</v>
      </c>
    </row>
    <row r="139">
      <c r="A139" s="5">
        <v>46.0</v>
      </c>
      <c r="B139" s="5" t="s">
        <v>15</v>
      </c>
      <c r="C139" s="5">
        <v>3.0</v>
      </c>
      <c r="D139" s="5">
        <v>5.074</v>
      </c>
      <c r="E139" s="5">
        <v>0.4</v>
      </c>
      <c r="F139" s="5">
        <f t="shared" si="1"/>
        <v>0.05045329129</v>
      </c>
      <c r="G139" s="5">
        <v>4.72</v>
      </c>
      <c r="H139" s="5">
        <v>3.8</v>
      </c>
    </row>
    <row r="140">
      <c r="A140" s="5">
        <v>47.0</v>
      </c>
      <c r="B140" s="5" t="s">
        <v>15</v>
      </c>
      <c r="C140" s="5">
        <v>1.0</v>
      </c>
      <c r="D140" s="5">
        <v>5.025</v>
      </c>
      <c r="E140" s="5">
        <v>0.26</v>
      </c>
      <c r="F140" s="5">
        <f t="shared" si="1"/>
        <v>0.03311442786</v>
      </c>
      <c r="G140" s="5">
        <v>4.64</v>
      </c>
      <c r="H140" s="5">
        <v>3.6</v>
      </c>
    </row>
    <row r="141">
      <c r="A141" s="5">
        <v>47.0</v>
      </c>
      <c r="B141" s="5" t="s">
        <v>15</v>
      </c>
      <c r="C141" s="5">
        <v>2.0</v>
      </c>
      <c r="D141" s="5">
        <v>5.033</v>
      </c>
      <c r="E141" s="5">
        <v>0.21</v>
      </c>
      <c r="F141" s="5">
        <f t="shared" si="1"/>
        <v>0.02670375522</v>
      </c>
      <c r="G141" s="5">
        <v>4.55</v>
      </c>
      <c r="H141" s="5">
        <v>4.5</v>
      </c>
    </row>
    <row r="142">
      <c r="A142" s="5">
        <v>47.0</v>
      </c>
      <c r="B142" s="5" t="s">
        <v>15</v>
      </c>
      <c r="C142" s="5">
        <v>3.0</v>
      </c>
      <c r="D142" s="5">
        <v>5.055</v>
      </c>
      <c r="E142" s="5">
        <v>0.33</v>
      </c>
      <c r="F142" s="5">
        <f t="shared" si="1"/>
        <v>0.04178041543</v>
      </c>
      <c r="G142" s="5">
        <v>4.54</v>
      </c>
      <c r="H142" s="5">
        <v>4.6</v>
      </c>
    </row>
    <row r="143">
      <c r="A143" s="5">
        <v>48.0</v>
      </c>
      <c r="B143" s="5" t="s">
        <v>15</v>
      </c>
      <c r="C143" s="5">
        <v>1.0</v>
      </c>
      <c r="D143" s="5">
        <v>5.003</v>
      </c>
      <c r="E143" s="5">
        <v>0.15</v>
      </c>
      <c r="F143" s="5">
        <f t="shared" si="1"/>
        <v>0.01918848691</v>
      </c>
      <c r="G143" s="5">
        <v>4.55</v>
      </c>
      <c r="H143" s="5">
        <v>4.48</v>
      </c>
    </row>
    <row r="144">
      <c r="A144" s="5">
        <v>48.0</v>
      </c>
      <c r="B144" s="5" t="s">
        <v>15</v>
      </c>
      <c r="C144" s="5">
        <v>2.0</v>
      </c>
      <c r="D144" s="5">
        <v>5.067</v>
      </c>
      <c r="E144" s="5">
        <v>0.18</v>
      </c>
      <c r="F144" s="5">
        <f t="shared" si="1"/>
        <v>0.02273534636</v>
      </c>
      <c r="G144" s="5">
        <v>4.46</v>
      </c>
      <c r="H144" s="5">
        <v>4.5</v>
      </c>
    </row>
    <row r="145">
      <c r="A145" s="5">
        <v>48.0</v>
      </c>
      <c r="B145" s="5" t="s">
        <v>15</v>
      </c>
      <c r="C145" s="5">
        <v>3.0</v>
      </c>
      <c r="D145" s="5">
        <v>5.009</v>
      </c>
      <c r="E145" s="5">
        <v>0.18</v>
      </c>
      <c r="F145" s="5">
        <f t="shared" si="1"/>
        <v>0.02299860252</v>
      </c>
      <c r="G145" s="5">
        <v>4.49</v>
      </c>
      <c r="H145" s="5">
        <v>4.5</v>
      </c>
    </row>
    <row r="146">
      <c r="A146" s="5">
        <v>49.0</v>
      </c>
      <c r="B146" s="5" t="s">
        <v>15</v>
      </c>
      <c r="C146" s="5">
        <v>1.0</v>
      </c>
      <c r="D146" s="5">
        <v>5.02</v>
      </c>
      <c r="E146" s="5">
        <v>0.25</v>
      </c>
      <c r="F146" s="5">
        <f t="shared" si="1"/>
        <v>0.03187250996</v>
      </c>
      <c r="G146" s="5">
        <v>4.5</v>
      </c>
      <c r="H146" s="5">
        <v>5.0</v>
      </c>
    </row>
    <row r="147">
      <c r="A147" s="5">
        <v>49.0</v>
      </c>
      <c r="B147" s="5" t="s">
        <v>15</v>
      </c>
      <c r="C147" s="5">
        <v>2.0</v>
      </c>
      <c r="D147" s="5">
        <v>5.009</v>
      </c>
      <c r="E147" s="5">
        <v>0.28</v>
      </c>
      <c r="F147" s="5">
        <f t="shared" si="1"/>
        <v>0.03577560391</v>
      </c>
      <c r="G147" s="5">
        <v>4.39</v>
      </c>
      <c r="H147" s="5">
        <v>4.9</v>
      </c>
    </row>
    <row r="148">
      <c r="A148" s="5">
        <v>49.0</v>
      </c>
      <c r="B148" s="5" t="s">
        <v>15</v>
      </c>
      <c r="C148" s="5">
        <v>3.0</v>
      </c>
      <c r="D148" s="5">
        <v>5.013</v>
      </c>
      <c r="E148" s="5">
        <v>0.27</v>
      </c>
      <c r="F148" s="5">
        <f t="shared" si="1"/>
        <v>0.03447037702</v>
      </c>
      <c r="G148" s="5">
        <v>4.4</v>
      </c>
      <c r="H148" s="5">
        <v>5.0</v>
      </c>
    </row>
    <row r="149">
      <c r="A149" s="5">
        <v>50.0</v>
      </c>
      <c r="B149" s="5" t="s">
        <v>15</v>
      </c>
      <c r="C149" s="5">
        <v>1.0</v>
      </c>
      <c r="D149" s="5">
        <v>5.032</v>
      </c>
      <c r="E149" s="5">
        <v>0.18</v>
      </c>
      <c r="F149" s="5">
        <f t="shared" si="1"/>
        <v>0.02289348172</v>
      </c>
      <c r="G149" s="5">
        <v>4.57</v>
      </c>
      <c r="H149" s="5">
        <v>4.7</v>
      </c>
    </row>
    <row r="150">
      <c r="A150" s="5">
        <v>50.0</v>
      </c>
      <c r="B150" s="5" t="s">
        <v>15</v>
      </c>
      <c r="C150" s="5">
        <v>2.0</v>
      </c>
      <c r="D150" s="5">
        <v>5.007</v>
      </c>
      <c r="E150" s="5">
        <v>0.18</v>
      </c>
      <c r="F150" s="5">
        <f t="shared" si="1"/>
        <v>0.0230077891</v>
      </c>
      <c r="G150" s="5">
        <v>4.59</v>
      </c>
      <c r="H150" s="5">
        <v>4.7</v>
      </c>
    </row>
    <row r="151">
      <c r="A151" s="5">
        <v>50.0</v>
      </c>
      <c r="B151" s="5" t="s">
        <v>15</v>
      </c>
      <c r="C151" s="5">
        <v>3.0</v>
      </c>
      <c r="D151" s="5">
        <v>5.073</v>
      </c>
      <c r="E151" s="5">
        <v>0.15</v>
      </c>
      <c r="F151" s="5">
        <f t="shared" si="1"/>
        <v>0.01892371378</v>
      </c>
      <c r="G151" s="5">
        <v>4.53</v>
      </c>
      <c r="H151" s="5">
        <v>4.7</v>
      </c>
    </row>
    <row r="152">
      <c r="A152" s="5">
        <v>51.0</v>
      </c>
      <c r="B152" s="5" t="s">
        <v>15</v>
      </c>
      <c r="C152" s="5">
        <v>1.0</v>
      </c>
      <c r="D152" s="5">
        <v>5.073</v>
      </c>
      <c r="E152" s="5">
        <v>0.3</v>
      </c>
      <c r="F152" s="5">
        <f t="shared" si="1"/>
        <v>0.03784742756</v>
      </c>
      <c r="G152" s="5">
        <v>4.56</v>
      </c>
      <c r="H152" s="5">
        <v>4.0</v>
      </c>
    </row>
    <row r="153">
      <c r="A153" s="5">
        <v>51.0</v>
      </c>
      <c r="B153" s="5" t="s">
        <v>15</v>
      </c>
      <c r="C153" s="5">
        <v>2.0</v>
      </c>
      <c r="D153" s="5">
        <v>5.047</v>
      </c>
      <c r="E153" s="5">
        <v>0.22</v>
      </c>
      <c r="F153" s="5">
        <f t="shared" si="1"/>
        <v>0.02789776105</v>
      </c>
      <c r="G153" s="5">
        <v>4.53</v>
      </c>
      <c r="H153" s="5">
        <v>4.0</v>
      </c>
    </row>
    <row r="154">
      <c r="A154" s="5">
        <v>51.0</v>
      </c>
      <c r="B154" s="5" t="s">
        <v>15</v>
      </c>
      <c r="C154" s="5">
        <v>3.0</v>
      </c>
      <c r="D154" s="5">
        <v>5.004</v>
      </c>
      <c r="E154" s="5">
        <v>0.38</v>
      </c>
      <c r="F154" s="5">
        <f t="shared" si="1"/>
        <v>0.0486011191</v>
      </c>
      <c r="G154" s="5">
        <v>4.51</v>
      </c>
      <c r="H154" s="5">
        <v>3.9</v>
      </c>
    </row>
    <row r="155">
      <c r="A155" s="5">
        <v>52.0</v>
      </c>
      <c r="B155" s="5" t="s">
        <v>15</v>
      </c>
      <c r="C155" s="5">
        <v>1.0</v>
      </c>
      <c r="D155" s="5">
        <v>5.052</v>
      </c>
      <c r="E155" s="5">
        <v>0.79</v>
      </c>
      <c r="F155" s="5">
        <f t="shared" si="1"/>
        <v>0.1000791766</v>
      </c>
      <c r="G155" s="5">
        <v>4.46</v>
      </c>
      <c r="H155" s="5">
        <v>3.6</v>
      </c>
    </row>
    <row r="156">
      <c r="A156" s="5">
        <v>52.0</v>
      </c>
      <c r="B156" s="5" t="s">
        <v>15</v>
      </c>
      <c r="C156" s="5">
        <v>2.0</v>
      </c>
      <c r="D156" s="5">
        <v>5.039</v>
      </c>
      <c r="E156" s="5">
        <v>0.3</v>
      </c>
      <c r="F156" s="5">
        <f t="shared" si="1"/>
        <v>0.03810279817</v>
      </c>
      <c r="G156" s="5">
        <v>4.43</v>
      </c>
      <c r="H156" s="5">
        <v>3.6</v>
      </c>
    </row>
    <row r="157">
      <c r="A157" s="5">
        <v>52.0</v>
      </c>
      <c r="B157" s="5" t="s">
        <v>15</v>
      </c>
      <c r="C157" s="5">
        <v>3.0</v>
      </c>
      <c r="D157" s="5">
        <v>5.013</v>
      </c>
      <c r="E157" s="5">
        <v>0.61</v>
      </c>
      <c r="F157" s="5">
        <f t="shared" si="1"/>
        <v>0.07787751845</v>
      </c>
      <c r="G157" s="5">
        <v>4.42</v>
      </c>
      <c r="H157" s="5">
        <v>3.6</v>
      </c>
    </row>
    <row r="158">
      <c r="A158" s="5">
        <v>53.0</v>
      </c>
      <c r="B158" s="5" t="s">
        <v>15</v>
      </c>
      <c r="C158" s="5">
        <v>1.0</v>
      </c>
      <c r="D158" s="5">
        <v>5.085</v>
      </c>
      <c r="E158" s="5">
        <v>0.19</v>
      </c>
      <c r="F158" s="5">
        <f t="shared" si="1"/>
        <v>0.02391347099</v>
      </c>
      <c r="G158" s="5">
        <v>4.4</v>
      </c>
      <c r="H158" s="5">
        <v>3.8</v>
      </c>
    </row>
    <row r="159">
      <c r="A159" s="5">
        <v>53.0</v>
      </c>
      <c r="B159" s="5" t="s">
        <v>15</v>
      </c>
      <c r="C159" s="5">
        <v>2.0</v>
      </c>
      <c r="D159" s="5">
        <v>5.031</v>
      </c>
      <c r="E159" s="5">
        <v>0.27</v>
      </c>
      <c r="F159" s="5">
        <f t="shared" si="1"/>
        <v>0.0343470483</v>
      </c>
      <c r="G159" s="5">
        <v>4.39</v>
      </c>
      <c r="H159" s="5">
        <v>3.8</v>
      </c>
    </row>
    <row r="160">
      <c r="A160" s="5">
        <v>53.0</v>
      </c>
      <c r="B160" s="5" t="s">
        <v>15</v>
      </c>
      <c r="C160" s="5">
        <v>3.0</v>
      </c>
      <c r="D160" s="5">
        <v>5.073</v>
      </c>
      <c r="E160" s="5">
        <v>0.22</v>
      </c>
      <c r="F160" s="5">
        <f t="shared" si="1"/>
        <v>0.02775478021</v>
      </c>
      <c r="G160" s="5">
        <v>4.39</v>
      </c>
      <c r="H160" s="5">
        <v>3.8</v>
      </c>
    </row>
    <row r="161">
      <c r="A161" s="5">
        <v>54.0</v>
      </c>
      <c r="B161" s="5" t="s">
        <v>15</v>
      </c>
      <c r="C161" s="5">
        <v>1.0</v>
      </c>
      <c r="D161" s="5">
        <v>5.056</v>
      </c>
      <c r="E161" s="5">
        <v>0.26</v>
      </c>
      <c r="F161" s="5">
        <f t="shared" si="1"/>
        <v>0.03291139241</v>
      </c>
      <c r="G161" s="5">
        <v>4.36</v>
      </c>
      <c r="H161" s="5">
        <v>4.5</v>
      </c>
    </row>
    <row r="162">
      <c r="A162" s="5">
        <v>54.0</v>
      </c>
      <c r="B162" s="5" t="s">
        <v>15</v>
      </c>
      <c r="C162" s="5">
        <v>2.0</v>
      </c>
      <c r="D162" s="5">
        <v>5.087</v>
      </c>
      <c r="E162" s="5">
        <v>0.31</v>
      </c>
      <c r="F162" s="5">
        <f t="shared" si="1"/>
        <v>0.03900137606</v>
      </c>
      <c r="G162" s="5">
        <v>4.33</v>
      </c>
      <c r="H162" s="5">
        <v>4.2</v>
      </c>
    </row>
    <row r="163">
      <c r="A163" s="5">
        <v>54.0</v>
      </c>
      <c r="B163" s="5" t="s">
        <v>15</v>
      </c>
      <c r="C163" s="5">
        <v>3.0</v>
      </c>
      <c r="D163" s="5">
        <v>5.017</v>
      </c>
      <c r="E163" s="5">
        <v>0.26</v>
      </c>
      <c r="F163" s="5">
        <f t="shared" si="1"/>
        <v>0.03316723141</v>
      </c>
      <c r="G163" s="5">
        <v>4.33</v>
      </c>
      <c r="H163" s="5">
        <v>4.3</v>
      </c>
    </row>
    <row r="164">
      <c r="A164" s="5">
        <v>55.0</v>
      </c>
      <c r="B164" s="5" t="s">
        <v>15</v>
      </c>
      <c r="C164" s="5">
        <v>1.0</v>
      </c>
      <c r="D164" s="5">
        <v>5.074</v>
      </c>
      <c r="E164" s="5">
        <v>0.16</v>
      </c>
      <c r="F164" s="5">
        <f t="shared" si="1"/>
        <v>0.02018131652</v>
      </c>
      <c r="G164" s="5">
        <v>4.56</v>
      </c>
      <c r="H164" s="5">
        <v>4.0</v>
      </c>
    </row>
    <row r="165">
      <c r="A165" s="5">
        <v>55.0</v>
      </c>
      <c r="B165" s="5" t="s">
        <v>15</v>
      </c>
      <c r="C165" s="5">
        <v>2.0</v>
      </c>
      <c r="D165" s="5">
        <v>5.093</v>
      </c>
      <c r="E165" s="5">
        <v>0.15</v>
      </c>
      <c r="F165" s="5">
        <f t="shared" si="1"/>
        <v>0.01884940114</v>
      </c>
      <c r="G165" s="5">
        <v>4.53</v>
      </c>
      <c r="H165" s="5">
        <v>4.2</v>
      </c>
    </row>
    <row r="166">
      <c r="A166" s="5">
        <v>55.0</v>
      </c>
      <c r="B166" s="5" t="s">
        <v>15</v>
      </c>
      <c r="C166" s="5">
        <v>3.0</v>
      </c>
      <c r="D166" s="5">
        <v>5.048</v>
      </c>
      <c r="E166" s="5">
        <v>0.15</v>
      </c>
      <c r="F166" s="5">
        <f t="shared" si="1"/>
        <v>0.01901743265</v>
      </c>
      <c r="G166" s="5">
        <v>4.54</v>
      </c>
      <c r="H166" s="5">
        <v>4.0</v>
      </c>
    </row>
    <row r="167">
      <c r="A167" s="5">
        <v>56.0</v>
      </c>
      <c r="B167" s="5" t="s">
        <v>15</v>
      </c>
      <c r="C167" s="5">
        <v>1.0</v>
      </c>
      <c r="D167" s="5">
        <v>5.008</v>
      </c>
      <c r="E167" s="5">
        <v>0.28</v>
      </c>
      <c r="F167" s="5">
        <f t="shared" si="1"/>
        <v>0.0357827476</v>
      </c>
      <c r="G167" s="5">
        <v>4.54</v>
      </c>
      <c r="H167" s="5">
        <v>4.0</v>
      </c>
    </row>
    <row r="168">
      <c r="A168" s="5">
        <v>56.0</v>
      </c>
      <c r="B168" s="5" t="s">
        <v>15</v>
      </c>
      <c r="C168" s="5">
        <v>2.0</v>
      </c>
      <c r="D168" s="5">
        <v>5.02</v>
      </c>
      <c r="E168" s="5">
        <v>0.29</v>
      </c>
      <c r="F168" s="5">
        <f t="shared" si="1"/>
        <v>0.03697211155</v>
      </c>
      <c r="G168" s="5">
        <v>4.5</v>
      </c>
      <c r="H168" s="5">
        <v>4.1</v>
      </c>
    </row>
    <row r="169">
      <c r="A169" s="5">
        <v>56.0</v>
      </c>
      <c r="B169" s="5" t="s">
        <v>15</v>
      </c>
      <c r="C169" s="5">
        <v>3.0</v>
      </c>
      <c r="D169" s="5">
        <v>5.043</v>
      </c>
      <c r="E169" s="5">
        <v>0.45</v>
      </c>
      <c r="F169" s="5">
        <f t="shared" si="1"/>
        <v>0.05710886377</v>
      </c>
      <c r="G169" s="5">
        <v>4.54</v>
      </c>
      <c r="H169" s="5">
        <v>4.0</v>
      </c>
    </row>
    <row r="170">
      <c r="A170" s="5">
        <v>57.0</v>
      </c>
      <c r="B170" s="5" t="s">
        <v>15</v>
      </c>
      <c r="C170" s="5">
        <v>1.0</v>
      </c>
      <c r="D170" s="5">
        <v>5.053</v>
      </c>
      <c r="E170" s="5">
        <v>0.15</v>
      </c>
      <c r="F170" s="5">
        <f t="shared" si="1"/>
        <v>0.01899861468</v>
      </c>
      <c r="G170" s="5">
        <v>4.58</v>
      </c>
      <c r="H170" s="5">
        <v>4.0</v>
      </c>
    </row>
    <row r="171">
      <c r="A171" s="5">
        <v>57.0</v>
      </c>
      <c r="B171" s="5" t="s">
        <v>15</v>
      </c>
      <c r="C171" s="5">
        <v>2.0</v>
      </c>
      <c r="D171" s="5">
        <v>5.086</v>
      </c>
      <c r="E171" s="5">
        <v>0.15</v>
      </c>
      <c r="F171" s="5">
        <f t="shared" si="1"/>
        <v>0.01887534408</v>
      </c>
      <c r="G171" s="5">
        <v>4.5</v>
      </c>
      <c r="H171" s="5">
        <v>4.0</v>
      </c>
    </row>
    <row r="172">
      <c r="A172" s="5">
        <v>57.0</v>
      </c>
      <c r="B172" s="5" t="s">
        <v>15</v>
      </c>
      <c r="C172" s="5">
        <v>3.0</v>
      </c>
      <c r="D172" s="5">
        <v>5.016</v>
      </c>
      <c r="E172" s="5">
        <v>0.15</v>
      </c>
      <c r="F172" s="5">
        <f t="shared" si="1"/>
        <v>0.01913875598</v>
      </c>
      <c r="G172" s="5">
        <v>4.67</v>
      </c>
      <c r="H172" s="5">
        <v>4.0</v>
      </c>
    </row>
    <row r="173">
      <c r="A173" s="5">
        <v>58.0</v>
      </c>
      <c r="B173" s="5" t="s">
        <v>15</v>
      </c>
      <c r="C173" s="5">
        <v>1.0</v>
      </c>
      <c r="D173" s="5">
        <v>5.082</v>
      </c>
      <c r="E173" s="5">
        <v>0.11</v>
      </c>
      <c r="F173" s="5">
        <f t="shared" si="1"/>
        <v>0.01385281385</v>
      </c>
      <c r="G173" s="5">
        <v>4.46</v>
      </c>
      <c r="H173" s="5">
        <v>4.6</v>
      </c>
    </row>
    <row r="174">
      <c r="A174" s="5">
        <v>58.0</v>
      </c>
      <c r="B174" s="5" t="s">
        <v>15</v>
      </c>
      <c r="C174" s="5">
        <v>2.0</v>
      </c>
      <c r="D174" s="5">
        <v>5.011</v>
      </c>
      <c r="E174" s="5">
        <v>0.12</v>
      </c>
      <c r="F174" s="5">
        <f t="shared" si="1"/>
        <v>0.01532628218</v>
      </c>
      <c r="G174" s="5">
        <v>4.45</v>
      </c>
      <c r="H174" s="5">
        <v>4.5</v>
      </c>
    </row>
    <row r="175">
      <c r="A175" s="5">
        <v>58.0</v>
      </c>
      <c r="B175" s="5" t="s">
        <v>15</v>
      </c>
      <c r="C175" s="5">
        <v>3.0</v>
      </c>
      <c r="D175" s="5">
        <v>5.015</v>
      </c>
      <c r="E175" s="5">
        <v>0.14</v>
      </c>
      <c r="F175" s="5">
        <f t="shared" si="1"/>
        <v>0.0178664008</v>
      </c>
      <c r="G175" s="5">
        <v>4.45</v>
      </c>
      <c r="H175" s="5">
        <v>4.6</v>
      </c>
    </row>
    <row r="176">
      <c r="A176" s="5">
        <v>59.0</v>
      </c>
      <c r="B176" s="5" t="s">
        <v>15</v>
      </c>
      <c r="C176" s="5">
        <v>1.0</v>
      </c>
      <c r="D176" s="5">
        <v>5.015</v>
      </c>
      <c r="E176" s="5">
        <v>0.15</v>
      </c>
      <c r="F176" s="5">
        <f t="shared" si="1"/>
        <v>0.01914257228</v>
      </c>
      <c r="G176" s="5">
        <v>4.49</v>
      </c>
      <c r="H176" s="5">
        <v>4.8</v>
      </c>
    </row>
    <row r="177">
      <c r="A177" s="5">
        <v>59.0</v>
      </c>
      <c r="B177" s="5" t="s">
        <v>15</v>
      </c>
      <c r="C177" s="5">
        <v>2.0</v>
      </c>
      <c r="D177" s="5">
        <v>5.064</v>
      </c>
      <c r="E177" s="5">
        <v>0.15</v>
      </c>
      <c r="F177" s="5">
        <f t="shared" si="1"/>
        <v>0.01895734597</v>
      </c>
      <c r="G177" s="5">
        <v>4.48</v>
      </c>
      <c r="H177" s="5">
        <v>4.7</v>
      </c>
    </row>
    <row r="178">
      <c r="A178" s="5">
        <v>59.0</v>
      </c>
      <c r="B178" s="5" t="s">
        <v>15</v>
      </c>
      <c r="C178" s="5">
        <v>3.0</v>
      </c>
      <c r="D178" s="5">
        <v>5.039</v>
      </c>
      <c r="E178" s="5">
        <v>0.15</v>
      </c>
      <c r="F178" s="5">
        <f t="shared" si="1"/>
        <v>0.01905139909</v>
      </c>
      <c r="G178" s="5">
        <v>4.47</v>
      </c>
      <c r="H178" s="5">
        <v>4.8</v>
      </c>
    </row>
    <row r="179">
      <c r="A179" s="5">
        <v>60.0</v>
      </c>
      <c r="B179" s="5" t="s">
        <v>15</v>
      </c>
      <c r="C179" s="5">
        <v>1.0</v>
      </c>
      <c r="D179" s="5">
        <v>5.07</v>
      </c>
      <c r="E179" s="5">
        <v>0.16</v>
      </c>
      <c r="F179" s="5">
        <f t="shared" si="1"/>
        <v>0.02019723866</v>
      </c>
      <c r="G179" s="5">
        <v>4.5</v>
      </c>
      <c r="H179" s="5">
        <v>4.0</v>
      </c>
    </row>
    <row r="180">
      <c r="A180" s="5">
        <v>60.0</v>
      </c>
      <c r="B180" s="5" t="s">
        <v>15</v>
      </c>
      <c r="C180" s="5">
        <v>2.0</v>
      </c>
      <c r="D180" s="5">
        <v>5.0</v>
      </c>
      <c r="E180" s="5">
        <v>0.17</v>
      </c>
      <c r="F180" s="5">
        <f t="shared" si="1"/>
        <v>0.02176</v>
      </c>
      <c r="G180" s="16">
        <v>4.48</v>
      </c>
      <c r="H180" s="5">
        <v>3.9</v>
      </c>
    </row>
    <row r="181">
      <c r="A181" s="5">
        <v>60.0</v>
      </c>
      <c r="B181" s="5" t="s">
        <v>15</v>
      </c>
      <c r="C181" s="5">
        <v>3.0</v>
      </c>
      <c r="D181" s="5">
        <v>5.047</v>
      </c>
      <c r="E181" s="5">
        <v>0.2</v>
      </c>
      <c r="F181" s="5">
        <f t="shared" si="1"/>
        <v>0.02536160095</v>
      </c>
      <c r="G181" s="16">
        <v>4.5</v>
      </c>
      <c r="H181" s="5">
        <v>4.0</v>
      </c>
    </row>
    <row r="182">
      <c r="A182" s="5">
        <v>61.0</v>
      </c>
      <c r="B182" s="5" t="s">
        <v>15</v>
      </c>
      <c r="C182" s="5">
        <v>1.0</v>
      </c>
      <c r="D182" s="5">
        <v>5.0</v>
      </c>
      <c r="E182" s="5">
        <v>0.18</v>
      </c>
      <c r="F182" s="5">
        <f t="shared" si="1"/>
        <v>0.02304</v>
      </c>
      <c r="G182" s="5">
        <v>4.46</v>
      </c>
      <c r="H182" s="5">
        <v>4.0</v>
      </c>
    </row>
    <row r="183">
      <c r="A183" s="5">
        <v>61.0</v>
      </c>
      <c r="B183" s="5" t="s">
        <v>15</v>
      </c>
      <c r="C183" s="5">
        <v>2.0</v>
      </c>
      <c r="D183" s="5">
        <v>5.005</v>
      </c>
      <c r="E183" s="5">
        <v>0.18</v>
      </c>
      <c r="F183" s="5">
        <f t="shared" si="1"/>
        <v>0.02301698302</v>
      </c>
      <c r="G183" s="5">
        <v>4.46</v>
      </c>
      <c r="H183" s="5">
        <v>4.0</v>
      </c>
    </row>
    <row r="184">
      <c r="A184" s="5">
        <v>61.0</v>
      </c>
      <c r="B184" s="5" t="s">
        <v>15</v>
      </c>
      <c r="C184" s="5">
        <v>3.0</v>
      </c>
      <c r="D184" s="5">
        <v>5.017</v>
      </c>
      <c r="E184" s="5">
        <v>0.17</v>
      </c>
      <c r="F184" s="5">
        <f t="shared" si="1"/>
        <v>0.02168626669</v>
      </c>
      <c r="G184" s="5">
        <v>4.46</v>
      </c>
      <c r="H184" s="5">
        <v>4.0</v>
      </c>
    </row>
    <row r="185">
      <c r="A185" s="5">
        <v>62.0</v>
      </c>
      <c r="B185" s="5" t="s">
        <v>15</v>
      </c>
      <c r="C185" s="5">
        <v>1.0</v>
      </c>
      <c r="D185" s="5">
        <v>5.059</v>
      </c>
      <c r="E185" s="5">
        <v>0.11</v>
      </c>
      <c r="F185" s="5">
        <f t="shared" si="1"/>
        <v>0.01391579364</v>
      </c>
      <c r="G185" s="5">
        <v>4.43</v>
      </c>
      <c r="H185" s="5">
        <v>3.4</v>
      </c>
    </row>
    <row r="186">
      <c r="A186" s="5">
        <v>62.0</v>
      </c>
      <c r="B186" s="5" t="s">
        <v>15</v>
      </c>
      <c r="C186" s="5">
        <v>2.0</v>
      </c>
      <c r="D186" s="5">
        <v>5.035</v>
      </c>
      <c r="E186" s="5">
        <v>0.1</v>
      </c>
      <c r="F186" s="5">
        <f t="shared" si="1"/>
        <v>0.01271102284</v>
      </c>
      <c r="G186" s="5">
        <v>4.43</v>
      </c>
      <c r="H186" s="5">
        <v>3.4</v>
      </c>
    </row>
    <row r="187">
      <c r="A187" s="5">
        <v>62.0</v>
      </c>
      <c r="B187" s="5" t="s">
        <v>15</v>
      </c>
      <c r="C187" s="5">
        <v>3.0</v>
      </c>
      <c r="D187" s="5">
        <v>5.034</v>
      </c>
      <c r="E187" s="5">
        <v>0.15</v>
      </c>
      <c r="F187" s="5">
        <f t="shared" si="1"/>
        <v>0.01907032181</v>
      </c>
      <c r="G187" s="5">
        <v>4.45</v>
      </c>
      <c r="H187" s="5">
        <v>3.4</v>
      </c>
    </row>
    <row r="188">
      <c r="A188" s="5">
        <v>63.0</v>
      </c>
      <c r="B188" s="5" t="s">
        <v>15</v>
      </c>
      <c r="C188" s="5">
        <v>1.0</v>
      </c>
      <c r="D188" s="5">
        <v>5.086</v>
      </c>
      <c r="E188" s="5">
        <v>0.14</v>
      </c>
      <c r="F188" s="5">
        <f t="shared" si="1"/>
        <v>0.01761698781</v>
      </c>
      <c r="G188" s="5">
        <v>4.5</v>
      </c>
      <c r="H188" s="5">
        <v>4.4</v>
      </c>
    </row>
    <row r="189">
      <c r="A189" s="5">
        <v>63.0</v>
      </c>
      <c r="B189" s="5" t="s">
        <v>15</v>
      </c>
      <c r="C189" s="5">
        <v>2.0</v>
      </c>
      <c r="D189" s="5">
        <v>5.046</v>
      </c>
      <c r="E189" s="5">
        <v>0.16</v>
      </c>
      <c r="F189" s="5">
        <f t="shared" si="1"/>
        <v>0.02029330163</v>
      </c>
      <c r="G189" s="5">
        <v>4.46</v>
      </c>
      <c r="H189" s="5">
        <v>4.3</v>
      </c>
    </row>
    <row r="190">
      <c r="A190" s="5">
        <v>63.0</v>
      </c>
      <c r="B190" s="5" t="s">
        <v>15</v>
      </c>
      <c r="C190" s="5">
        <v>3.0</v>
      </c>
      <c r="D190" s="5">
        <v>5.02</v>
      </c>
      <c r="E190" s="5">
        <v>0.21</v>
      </c>
      <c r="F190" s="5">
        <f t="shared" si="1"/>
        <v>0.02677290837</v>
      </c>
      <c r="G190" s="5">
        <v>4.47</v>
      </c>
      <c r="H190" s="5">
        <v>4.4</v>
      </c>
    </row>
    <row r="191">
      <c r="A191" s="5">
        <v>64.0</v>
      </c>
      <c r="B191" s="5" t="s">
        <v>15</v>
      </c>
      <c r="C191" s="5">
        <v>1.0</v>
      </c>
      <c r="D191" s="5">
        <v>5.086</v>
      </c>
      <c r="E191" s="5">
        <v>0.14</v>
      </c>
      <c r="F191" s="5">
        <f t="shared" si="1"/>
        <v>0.01761698781</v>
      </c>
      <c r="G191" s="5">
        <v>4.48</v>
      </c>
      <c r="H191" s="5">
        <v>4.3</v>
      </c>
    </row>
    <row r="192">
      <c r="A192" s="5">
        <v>64.0</v>
      </c>
      <c r="B192" s="5" t="s">
        <v>15</v>
      </c>
      <c r="C192" s="5">
        <v>2.0</v>
      </c>
      <c r="D192" s="5">
        <v>5.073</v>
      </c>
      <c r="E192" s="5">
        <v>0.14</v>
      </c>
      <c r="F192" s="5">
        <f t="shared" si="1"/>
        <v>0.01766213286</v>
      </c>
      <c r="G192" s="5">
        <v>4.41</v>
      </c>
      <c r="H192" s="5">
        <v>4.3</v>
      </c>
    </row>
    <row r="193">
      <c r="A193" s="5">
        <v>64.0</v>
      </c>
      <c r="B193" s="5" t="s">
        <v>15</v>
      </c>
      <c r="C193" s="5">
        <v>3.0</v>
      </c>
      <c r="D193" s="5">
        <v>5.061</v>
      </c>
      <c r="E193" s="5">
        <v>0.14</v>
      </c>
      <c r="F193" s="5">
        <f t="shared" si="1"/>
        <v>0.01770401107</v>
      </c>
      <c r="G193" s="5">
        <v>4.4</v>
      </c>
      <c r="H193" s="5">
        <v>4.3</v>
      </c>
    </row>
    <row r="194">
      <c r="A194" s="5">
        <v>65.0</v>
      </c>
      <c r="B194" s="5" t="s">
        <v>15</v>
      </c>
      <c r="C194" s="5">
        <v>1.0</v>
      </c>
      <c r="D194" s="5">
        <v>5.075</v>
      </c>
      <c r="E194" s="5">
        <v>0.37</v>
      </c>
      <c r="F194" s="5">
        <f t="shared" si="1"/>
        <v>0.04666009852</v>
      </c>
      <c r="G194" s="5">
        <v>4.39</v>
      </c>
      <c r="H194" s="5">
        <v>4.1</v>
      </c>
    </row>
    <row r="195">
      <c r="A195" s="5">
        <v>65.0</v>
      </c>
      <c r="B195" s="5" t="s">
        <v>15</v>
      </c>
      <c r="C195" s="5">
        <v>2.0</v>
      </c>
      <c r="D195" s="5">
        <v>5.071</v>
      </c>
      <c r="E195" s="5">
        <v>0.32</v>
      </c>
      <c r="F195" s="5">
        <f t="shared" si="1"/>
        <v>0.04038651154</v>
      </c>
      <c r="G195" s="5">
        <v>4.44</v>
      </c>
      <c r="H195" s="5">
        <v>4.1</v>
      </c>
    </row>
    <row r="196">
      <c r="A196" s="5">
        <v>65.0</v>
      </c>
      <c r="B196" s="5" t="s">
        <v>15</v>
      </c>
      <c r="C196" s="5">
        <v>3.0</v>
      </c>
      <c r="D196" s="5">
        <v>5.0</v>
      </c>
      <c r="E196" s="5">
        <v>0.25</v>
      </c>
      <c r="F196" s="5">
        <f t="shared" si="1"/>
        <v>0.032</v>
      </c>
      <c r="G196" s="5">
        <v>4.3</v>
      </c>
      <c r="H196" s="5">
        <v>4.1</v>
      </c>
    </row>
    <row r="197">
      <c r="A197" s="5">
        <v>66.0</v>
      </c>
      <c r="B197" s="5" t="s">
        <v>15</v>
      </c>
      <c r="C197" s="5">
        <v>1.0</v>
      </c>
      <c r="D197" s="5">
        <v>5.01</v>
      </c>
      <c r="E197" s="5">
        <v>0.17</v>
      </c>
      <c r="F197" s="5">
        <f t="shared" si="1"/>
        <v>0.02171656687</v>
      </c>
      <c r="G197" s="5">
        <v>4.41</v>
      </c>
      <c r="H197" s="5">
        <v>3.8</v>
      </c>
    </row>
    <row r="198">
      <c r="A198" s="5">
        <v>66.0</v>
      </c>
      <c r="B198" s="5" t="s">
        <v>15</v>
      </c>
      <c r="C198" s="5">
        <v>2.0</v>
      </c>
      <c r="D198" s="5">
        <v>5.042</v>
      </c>
      <c r="E198" s="5">
        <v>0.11</v>
      </c>
      <c r="F198" s="5">
        <f t="shared" si="1"/>
        <v>0.01396271321</v>
      </c>
      <c r="G198" s="5">
        <v>4.52</v>
      </c>
      <c r="H198" s="5">
        <v>4.0</v>
      </c>
    </row>
    <row r="199">
      <c r="A199" s="5">
        <v>66.0</v>
      </c>
      <c r="B199" s="5" t="s">
        <v>15</v>
      </c>
      <c r="C199" s="5">
        <v>3.0</v>
      </c>
      <c r="D199" s="5">
        <v>5.035</v>
      </c>
      <c r="E199" s="5">
        <v>0.1</v>
      </c>
      <c r="F199" s="5">
        <f t="shared" si="1"/>
        <v>0.01271102284</v>
      </c>
      <c r="G199" s="5">
        <v>4.52</v>
      </c>
      <c r="H199" s="5">
        <v>3.8</v>
      </c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1.0"/>
    <col customWidth="1" min="3" max="3" width="9.57"/>
    <col customWidth="1" min="4" max="4" width="13.43"/>
    <col customWidth="1" min="5" max="5" width="19.71"/>
    <col customWidth="1" min="6" max="6" width="16.71"/>
    <col customWidth="1" min="7" max="7" width="19.14"/>
    <col customWidth="1" min="8" max="8" width="17.57"/>
  </cols>
  <sheetData>
    <row r="1">
      <c r="A1" s="1" t="s">
        <v>0</v>
      </c>
      <c r="B1" s="1" t="s">
        <v>1</v>
      </c>
      <c r="C1" s="29" t="s">
        <v>22</v>
      </c>
      <c r="D1" s="29" t="s">
        <v>145</v>
      </c>
      <c r="E1" s="29" t="s">
        <v>146</v>
      </c>
      <c r="F1" s="29" t="s">
        <v>147</v>
      </c>
      <c r="G1" s="16" t="s">
        <v>148</v>
      </c>
      <c r="H1" s="30" t="s">
        <v>149</v>
      </c>
    </row>
    <row r="2">
      <c r="A2" s="5">
        <v>1.0</v>
      </c>
      <c r="B2" s="5" t="s">
        <v>13</v>
      </c>
      <c r="C2" s="31">
        <v>1.0</v>
      </c>
      <c r="D2" s="5">
        <v>53.19</v>
      </c>
      <c r="E2" s="5">
        <v>-6.74</v>
      </c>
      <c r="F2" s="5">
        <v>25.29</v>
      </c>
      <c r="G2" s="5">
        <f t="shared" ref="G2:G199" si="1">SQRT(E2*E2+F2*F2)</f>
        <v>26.17272817</v>
      </c>
      <c r="H2" s="5">
        <f t="shared" ref="H2:H199" si="2">IFERROR(DEGREES(ATAN(E2/F2)),"-")</f>
        <v>-14.92295628</v>
      </c>
    </row>
    <row r="3">
      <c r="A3" s="5">
        <v>1.0</v>
      </c>
      <c r="B3" s="5" t="s">
        <v>13</v>
      </c>
      <c r="C3" s="31">
        <v>2.0</v>
      </c>
      <c r="D3" s="5">
        <v>49.44</v>
      </c>
      <c r="E3" s="5">
        <v>-6.92</v>
      </c>
      <c r="F3" s="5">
        <v>39.91</v>
      </c>
      <c r="G3" s="5">
        <f t="shared" si="1"/>
        <v>40.50548728</v>
      </c>
      <c r="H3" s="5">
        <f t="shared" si="2"/>
        <v>-9.836723101</v>
      </c>
    </row>
    <row r="4">
      <c r="A4" s="5">
        <v>1.0</v>
      </c>
      <c r="B4" s="5" t="s">
        <v>13</v>
      </c>
      <c r="C4" s="31">
        <v>3.0</v>
      </c>
      <c r="D4" s="5">
        <v>53.17</v>
      </c>
      <c r="E4" s="5">
        <v>-5.99</v>
      </c>
      <c r="F4" s="5">
        <v>27.78</v>
      </c>
      <c r="G4" s="5">
        <f t="shared" si="1"/>
        <v>28.41845351</v>
      </c>
      <c r="H4" s="5">
        <f t="shared" si="2"/>
        <v>-12.16798028</v>
      </c>
    </row>
    <row r="5">
      <c r="A5" s="5">
        <v>2.0</v>
      </c>
      <c r="B5" s="5" t="s">
        <v>13</v>
      </c>
      <c r="C5" s="31">
        <v>1.0</v>
      </c>
      <c r="D5" s="5">
        <v>49.79</v>
      </c>
      <c r="E5" s="5">
        <v>-2.5</v>
      </c>
      <c r="F5" s="5">
        <v>41.9</v>
      </c>
      <c r="G5" s="5">
        <f t="shared" si="1"/>
        <v>41.97451608</v>
      </c>
      <c r="H5" s="5">
        <f t="shared" si="2"/>
        <v>-3.414554479</v>
      </c>
    </row>
    <row r="6">
      <c r="A6" s="5">
        <v>2.0</v>
      </c>
      <c r="B6" s="5" t="s">
        <v>13</v>
      </c>
      <c r="C6" s="31">
        <v>2.0</v>
      </c>
      <c r="D6" s="5">
        <v>57.93</v>
      </c>
      <c r="E6" s="5">
        <v>5.0</v>
      </c>
      <c r="F6" s="5">
        <v>51.07</v>
      </c>
      <c r="G6" s="5">
        <f t="shared" si="1"/>
        <v>51.31417835</v>
      </c>
      <c r="H6" s="5">
        <f t="shared" si="2"/>
        <v>5.591713176</v>
      </c>
    </row>
    <row r="7">
      <c r="A7" s="5">
        <v>2.0</v>
      </c>
      <c r="B7" s="5" t="s">
        <v>13</v>
      </c>
      <c r="C7" s="31">
        <v>3.0</v>
      </c>
      <c r="D7" s="5">
        <v>50.45</v>
      </c>
      <c r="E7" s="5">
        <v>1.86</v>
      </c>
      <c r="F7" s="5">
        <v>54.35</v>
      </c>
      <c r="G7" s="5">
        <f t="shared" si="1"/>
        <v>54.38181773</v>
      </c>
      <c r="H7" s="5">
        <f t="shared" si="2"/>
        <v>1.960047369</v>
      </c>
    </row>
    <row r="8">
      <c r="A8" s="5">
        <v>3.0</v>
      </c>
      <c r="B8" s="5" t="s">
        <v>13</v>
      </c>
      <c r="C8" s="31">
        <v>1.0</v>
      </c>
      <c r="D8" s="5">
        <v>45.58</v>
      </c>
      <c r="E8" s="5">
        <v>-7.26</v>
      </c>
      <c r="F8" s="5">
        <v>28.17</v>
      </c>
      <c r="G8" s="5">
        <f t="shared" si="1"/>
        <v>29.09048814</v>
      </c>
      <c r="H8" s="5">
        <f t="shared" si="2"/>
        <v>-14.45183838</v>
      </c>
    </row>
    <row r="9">
      <c r="A9" s="5">
        <v>3.0</v>
      </c>
      <c r="B9" s="5" t="s">
        <v>13</v>
      </c>
      <c r="C9" s="31">
        <v>2.0</v>
      </c>
      <c r="D9" s="5">
        <v>61.88</v>
      </c>
      <c r="E9" s="5">
        <v>-8.51</v>
      </c>
      <c r="F9" s="5">
        <v>36.47</v>
      </c>
      <c r="G9" s="5">
        <f t="shared" si="1"/>
        <v>37.44971295</v>
      </c>
      <c r="H9" s="5">
        <f t="shared" si="2"/>
        <v>-13.13451895</v>
      </c>
    </row>
    <row r="10">
      <c r="A10" s="5">
        <v>3.0</v>
      </c>
      <c r="B10" s="5" t="s">
        <v>13</v>
      </c>
      <c r="C10" s="31">
        <v>3.0</v>
      </c>
      <c r="D10" s="5">
        <v>47.05</v>
      </c>
      <c r="E10" s="5">
        <v>-4.61</v>
      </c>
      <c r="F10" s="5">
        <v>24.38</v>
      </c>
      <c r="G10" s="5">
        <f t="shared" si="1"/>
        <v>24.8120233</v>
      </c>
      <c r="H10" s="5">
        <f t="shared" si="2"/>
        <v>-10.70760397</v>
      </c>
    </row>
    <row r="11">
      <c r="A11" s="5">
        <v>4.0</v>
      </c>
      <c r="B11" s="5" t="s">
        <v>13</v>
      </c>
      <c r="C11" s="31">
        <v>1.0</v>
      </c>
      <c r="D11" s="5">
        <v>51.57</v>
      </c>
      <c r="E11" s="5">
        <v>4.97</v>
      </c>
      <c r="F11" s="5">
        <v>52.02</v>
      </c>
      <c r="G11" s="5">
        <f t="shared" si="1"/>
        <v>52.25687802</v>
      </c>
      <c r="H11" s="5">
        <f t="shared" si="2"/>
        <v>5.457483966</v>
      </c>
    </row>
    <row r="12">
      <c r="A12" s="5">
        <v>4.0</v>
      </c>
      <c r="B12" s="5" t="s">
        <v>13</v>
      </c>
      <c r="C12" s="31">
        <v>2.0</v>
      </c>
      <c r="D12" s="5">
        <v>62.25</v>
      </c>
      <c r="E12" s="5">
        <v>6.95</v>
      </c>
      <c r="F12" s="5">
        <v>56.39</v>
      </c>
      <c r="G12" s="5">
        <f t="shared" si="1"/>
        <v>56.81667537</v>
      </c>
      <c r="H12" s="5">
        <f t="shared" si="2"/>
        <v>7.026202585</v>
      </c>
    </row>
    <row r="13">
      <c r="A13" s="5">
        <v>4.0</v>
      </c>
      <c r="B13" s="5" t="s">
        <v>13</v>
      </c>
      <c r="C13" s="31">
        <v>3.0</v>
      </c>
      <c r="D13" s="5">
        <v>63.36</v>
      </c>
      <c r="E13" s="5">
        <v>-3.15</v>
      </c>
      <c r="F13" s="5">
        <v>42.15</v>
      </c>
      <c r="G13" s="5">
        <f t="shared" si="1"/>
        <v>42.26754074</v>
      </c>
      <c r="H13" s="5">
        <f t="shared" si="2"/>
        <v>-4.273946098</v>
      </c>
    </row>
    <row r="14">
      <c r="A14" s="5">
        <v>5.0</v>
      </c>
      <c r="B14" s="5" t="s">
        <v>13</v>
      </c>
      <c r="C14" s="31">
        <v>1.0</v>
      </c>
      <c r="D14" s="5">
        <v>49.36</v>
      </c>
      <c r="E14" s="5">
        <v>8.4</v>
      </c>
      <c r="F14" s="5">
        <v>47.69</v>
      </c>
      <c r="G14" s="5">
        <f t="shared" si="1"/>
        <v>48.42412725</v>
      </c>
      <c r="H14" s="5">
        <f t="shared" si="2"/>
        <v>9.989473635</v>
      </c>
    </row>
    <row r="15">
      <c r="A15" s="5">
        <v>5.0</v>
      </c>
      <c r="B15" s="5" t="s">
        <v>13</v>
      </c>
      <c r="C15" s="31">
        <v>2.0</v>
      </c>
      <c r="D15" s="5">
        <v>58.78</v>
      </c>
      <c r="E15" s="5">
        <v>8.87</v>
      </c>
      <c r="F15" s="5">
        <v>57.94</v>
      </c>
      <c r="G15" s="5">
        <f t="shared" si="1"/>
        <v>58.61501941</v>
      </c>
      <c r="H15" s="5">
        <f t="shared" si="2"/>
        <v>8.703801325</v>
      </c>
    </row>
    <row r="16">
      <c r="A16" s="5">
        <v>5.0</v>
      </c>
      <c r="B16" s="5" t="s">
        <v>13</v>
      </c>
      <c r="C16" s="31">
        <v>3.0</v>
      </c>
      <c r="D16" s="5">
        <v>53.7</v>
      </c>
      <c r="E16" s="5">
        <v>5.84</v>
      </c>
      <c r="F16" s="5">
        <v>40.6</v>
      </c>
      <c r="G16" s="5">
        <f t="shared" si="1"/>
        <v>41.01786928</v>
      </c>
      <c r="H16" s="5">
        <f t="shared" si="2"/>
        <v>8.185414771</v>
      </c>
    </row>
    <row r="17">
      <c r="A17" s="5">
        <v>6.0</v>
      </c>
      <c r="B17" s="5" t="s">
        <v>13</v>
      </c>
      <c r="C17" s="31">
        <v>1.0</v>
      </c>
      <c r="D17" s="5">
        <v>52.19</v>
      </c>
      <c r="E17" s="5">
        <v>-3.7</v>
      </c>
      <c r="F17" s="5">
        <v>35.21</v>
      </c>
      <c r="G17" s="5">
        <f t="shared" si="1"/>
        <v>35.40387126</v>
      </c>
      <c r="H17" s="5">
        <f t="shared" si="2"/>
        <v>-5.998840974</v>
      </c>
    </row>
    <row r="18">
      <c r="A18" s="5">
        <v>6.0</v>
      </c>
      <c r="B18" s="5" t="s">
        <v>13</v>
      </c>
      <c r="C18" s="31">
        <v>2.0</v>
      </c>
      <c r="D18" s="5">
        <v>51.86</v>
      </c>
      <c r="E18" s="5">
        <v>20.04</v>
      </c>
      <c r="F18" s="5">
        <v>52.78</v>
      </c>
      <c r="G18" s="5">
        <f t="shared" si="1"/>
        <v>56.45644339</v>
      </c>
      <c r="H18" s="5">
        <f t="shared" si="2"/>
        <v>20.79123264</v>
      </c>
    </row>
    <row r="19">
      <c r="A19" s="5">
        <v>6.0</v>
      </c>
      <c r="B19" s="5" t="s">
        <v>13</v>
      </c>
      <c r="C19" s="31">
        <v>3.0</v>
      </c>
      <c r="D19" s="5">
        <v>49.7</v>
      </c>
      <c r="E19" s="5">
        <v>9.43</v>
      </c>
      <c r="F19" s="5">
        <v>32.89</v>
      </c>
      <c r="G19" s="5">
        <f t="shared" si="1"/>
        <v>34.21515746</v>
      </c>
      <c r="H19" s="5">
        <f t="shared" si="2"/>
        <v>15.99830058</v>
      </c>
    </row>
    <row r="20">
      <c r="A20" s="5">
        <v>7.0</v>
      </c>
      <c r="B20" s="5" t="s">
        <v>13</v>
      </c>
      <c r="C20" s="31">
        <v>1.0</v>
      </c>
      <c r="D20" s="5">
        <v>47.2</v>
      </c>
      <c r="E20" s="5">
        <v>2.86</v>
      </c>
      <c r="F20" s="5">
        <v>39.87</v>
      </c>
      <c r="G20" s="5">
        <f t="shared" si="1"/>
        <v>39.97244676</v>
      </c>
      <c r="H20" s="5">
        <f t="shared" si="2"/>
        <v>4.102977899</v>
      </c>
    </row>
    <row r="21" ht="15.75" customHeight="1">
      <c r="A21" s="5">
        <v>7.0</v>
      </c>
      <c r="B21" s="5" t="s">
        <v>13</v>
      </c>
      <c r="C21" s="31">
        <v>2.0</v>
      </c>
      <c r="D21" s="5">
        <v>35.69</v>
      </c>
      <c r="E21" s="5">
        <v>23.11</v>
      </c>
      <c r="F21" s="5">
        <v>47.33</v>
      </c>
      <c r="G21" s="5">
        <f t="shared" si="1"/>
        <v>52.67068445</v>
      </c>
      <c r="H21" s="5">
        <f t="shared" si="2"/>
        <v>26.02504581</v>
      </c>
    </row>
    <row r="22" ht="15.75" customHeight="1">
      <c r="A22" s="5">
        <v>7.0</v>
      </c>
      <c r="B22" s="5" t="s">
        <v>13</v>
      </c>
      <c r="C22" s="31">
        <v>3.0</v>
      </c>
      <c r="D22" s="5">
        <v>63.0</v>
      </c>
      <c r="E22" s="5">
        <v>-1.94</v>
      </c>
      <c r="F22" s="5">
        <v>40.38</v>
      </c>
      <c r="G22" s="5">
        <f t="shared" si="1"/>
        <v>40.42657542</v>
      </c>
      <c r="H22" s="5">
        <f t="shared" si="2"/>
        <v>-2.750579724</v>
      </c>
    </row>
    <row r="23" ht="15.75" customHeight="1">
      <c r="A23" s="5">
        <v>8.0</v>
      </c>
      <c r="B23" s="5" t="s">
        <v>13</v>
      </c>
      <c r="C23" s="31">
        <v>1.0</v>
      </c>
      <c r="D23" s="5">
        <v>45.13</v>
      </c>
      <c r="E23" s="5">
        <v>-0.25</v>
      </c>
      <c r="F23" s="13">
        <v>49.61</v>
      </c>
      <c r="G23" s="5">
        <f t="shared" si="1"/>
        <v>49.61062991</v>
      </c>
      <c r="H23" s="5">
        <f t="shared" si="2"/>
        <v>-0.2887285553</v>
      </c>
    </row>
    <row r="24" ht="15.75" customHeight="1">
      <c r="A24" s="5">
        <v>8.0</v>
      </c>
      <c r="B24" s="5" t="s">
        <v>13</v>
      </c>
      <c r="C24" s="31">
        <v>2.0</v>
      </c>
      <c r="D24" s="13">
        <v>56.84</v>
      </c>
      <c r="E24" s="5">
        <v>13.07</v>
      </c>
      <c r="F24" s="5">
        <v>50.75</v>
      </c>
      <c r="G24" s="5">
        <f t="shared" si="1"/>
        <v>52.4059863</v>
      </c>
      <c r="H24" s="5">
        <f t="shared" si="2"/>
        <v>14.44195031</v>
      </c>
    </row>
    <row r="25" ht="15.75" customHeight="1">
      <c r="A25" s="5">
        <v>8.0</v>
      </c>
      <c r="B25" s="5" t="s">
        <v>13</v>
      </c>
      <c r="C25" s="31">
        <v>3.0</v>
      </c>
      <c r="D25" s="13">
        <v>59.37</v>
      </c>
      <c r="E25" s="5">
        <v>0.6</v>
      </c>
      <c r="F25" s="5">
        <v>38.42</v>
      </c>
      <c r="G25" s="5">
        <f t="shared" si="1"/>
        <v>38.42468477</v>
      </c>
      <c r="H25" s="5">
        <f t="shared" si="2"/>
        <v>0.8947077924</v>
      </c>
    </row>
    <row r="26" ht="15.75" customHeight="1">
      <c r="A26" s="5">
        <v>9.0</v>
      </c>
      <c r="B26" s="5" t="s">
        <v>13</v>
      </c>
      <c r="C26" s="31">
        <v>1.0</v>
      </c>
      <c r="D26" s="5">
        <v>54.73</v>
      </c>
      <c r="E26" s="5">
        <v>-8.0</v>
      </c>
      <c r="F26" s="5">
        <v>30.5</v>
      </c>
      <c r="G26" s="5">
        <f t="shared" si="1"/>
        <v>31.53173005</v>
      </c>
      <c r="H26" s="5">
        <f t="shared" si="2"/>
        <v>-14.69731928</v>
      </c>
    </row>
    <row r="27" ht="15.75" customHeight="1">
      <c r="A27" s="5">
        <v>9.0</v>
      </c>
      <c r="B27" s="5" t="s">
        <v>13</v>
      </c>
      <c r="C27" s="31">
        <v>2.0</v>
      </c>
      <c r="D27" s="5">
        <v>64.08</v>
      </c>
      <c r="E27" s="5">
        <v>-8.43</v>
      </c>
      <c r="F27" s="5">
        <v>36.15</v>
      </c>
      <c r="G27" s="5">
        <f t="shared" si="1"/>
        <v>37.11990571</v>
      </c>
      <c r="H27" s="5">
        <f t="shared" si="2"/>
        <v>-13.12650653</v>
      </c>
    </row>
    <row r="28" ht="15.75" customHeight="1">
      <c r="A28" s="5">
        <v>9.0</v>
      </c>
      <c r="B28" s="5" t="s">
        <v>13</v>
      </c>
      <c r="C28" s="31">
        <v>3.0</v>
      </c>
      <c r="D28" s="5">
        <v>59.3</v>
      </c>
      <c r="E28" s="5">
        <v>-5.33</v>
      </c>
      <c r="F28" s="5">
        <v>29.81</v>
      </c>
      <c r="G28" s="5">
        <f t="shared" si="1"/>
        <v>30.28275087</v>
      </c>
      <c r="H28" s="5">
        <f t="shared" si="2"/>
        <v>-10.13731048</v>
      </c>
    </row>
    <row r="29" ht="15.75" customHeight="1">
      <c r="A29" s="5">
        <v>10.0</v>
      </c>
      <c r="B29" s="5" t="s">
        <v>13</v>
      </c>
      <c r="C29" s="31">
        <v>1.0</v>
      </c>
      <c r="D29" s="5">
        <v>52.69</v>
      </c>
      <c r="E29" s="5">
        <v>-0.58</v>
      </c>
      <c r="F29" s="5">
        <v>53.32</v>
      </c>
      <c r="G29" s="5">
        <f t="shared" si="1"/>
        <v>53.32315445</v>
      </c>
      <c r="H29" s="5">
        <f t="shared" si="2"/>
        <v>-0.6232228339</v>
      </c>
    </row>
    <row r="30" ht="15.75" customHeight="1">
      <c r="A30" s="5">
        <v>10.0</v>
      </c>
      <c r="B30" s="5" t="s">
        <v>13</v>
      </c>
      <c r="C30" s="31">
        <v>2.0</v>
      </c>
      <c r="D30" s="5">
        <v>61.52</v>
      </c>
      <c r="E30" s="5">
        <v>2.76</v>
      </c>
      <c r="F30" s="5">
        <v>54.68</v>
      </c>
      <c r="G30" s="5">
        <f t="shared" si="1"/>
        <v>54.74961187</v>
      </c>
      <c r="H30" s="5">
        <f t="shared" si="2"/>
        <v>2.889580427</v>
      </c>
    </row>
    <row r="31" ht="15.75" customHeight="1">
      <c r="A31" s="5">
        <v>10.0</v>
      </c>
      <c r="B31" s="5" t="s">
        <v>13</v>
      </c>
      <c r="C31" s="31">
        <v>3.0</v>
      </c>
      <c r="D31" s="5">
        <v>59.16</v>
      </c>
      <c r="E31" s="13">
        <v>11.9</v>
      </c>
      <c r="F31" s="5">
        <v>49.17</v>
      </c>
      <c r="G31" s="5">
        <f t="shared" si="1"/>
        <v>50.58951374</v>
      </c>
      <c r="H31" s="5">
        <f t="shared" si="2"/>
        <v>13.60498124</v>
      </c>
    </row>
    <row r="32" ht="15.75" customHeight="1">
      <c r="A32" s="5">
        <v>11.0</v>
      </c>
      <c r="B32" s="5" t="s">
        <v>13</v>
      </c>
      <c r="C32" s="31">
        <v>1.0</v>
      </c>
      <c r="D32" s="5">
        <v>54.11</v>
      </c>
      <c r="E32" s="5">
        <v>-6.0</v>
      </c>
      <c r="F32" s="5">
        <v>38.37</v>
      </c>
      <c r="G32" s="5">
        <f t="shared" si="1"/>
        <v>38.83628329</v>
      </c>
      <c r="H32" s="5">
        <f t="shared" si="2"/>
        <v>-8.88749179</v>
      </c>
    </row>
    <row r="33" ht="15.75" customHeight="1">
      <c r="A33" s="5">
        <v>11.0</v>
      </c>
      <c r="B33" s="5" t="s">
        <v>13</v>
      </c>
      <c r="C33" s="31">
        <v>2.0</v>
      </c>
      <c r="D33" s="5">
        <v>59.06</v>
      </c>
      <c r="E33" s="5">
        <v>4.5</v>
      </c>
      <c r="F33" s="5">
        <v>34.2</v>
      </c>
      <c r="G33" s="5">
        <f t="shared" si="1"/>
        <v>34.49478221</v>
      </c>
      <c r="H33" s="5">
        <f t="shared" si="2"/>
        <v>7.49585764</v>
      </c>
    </row>
    <row r="34" ht="15.75" customHeight="1">
      <c r="A34" s="5">
        <v>11.0</v>
      </c>
      <c r="B34" s="5" t="s">
        <v>13</v>
      </c>
      <c r="C34" s="31">
        <v>3.0</v>
      </c>
      <c r="D34" s="5">
        <v>61.98</v>
      </c>
      <c r="E34" s="5">
        <v>-2.1</v>
      </c>
      <c r="F34" s="5">
        <v>42.87</v>
      </c>
      <c r="G34" s="5">
        <f t="shared" si="1"/>
        <v>42.92140375</v>
      </c>
      <c r="H34" s="5">
        <f t="shared" si="2"/>
        <v>-2.804409518</v>
      </c>
    </row>
    <row r="35" ht="15.75" customHeight="1">
      <c r="A35" s="5">
        <v>12.0</v>
      </c>
      <c r="B35" s="5" t="s">
        <v>13</v>
      </c>
      <c r="C35" s="31">
        <v>1.0</v>
      </c>
      <c r="D35" s="5">
        <v>49.76</v>
      </c>
      <c r="E35" s="5">
        <v>-5.94</v>
      </c>
      <c r="F35" s="5">
        <v>35.74</v>
      </c>
      <c r="G35" s="5">
        <f t="shared" si="1"/>
        <v>36.23025255</v>
      </c>
      <c r="H35" s="5">
        <f t="shared" si="2"/>
        <v>-9.43632358</v>
      </c>
    </row>
    <row r="36" ht="15.75" customHeight="1">
      <c r="A36" s="5">
        <v>12.0</v>
      </c>
      <c r="B36" s="5" t="s">
        <v>13</v>
      </c>
      <c r="C36" s="31">
        <v>2.0</v>
      </c>
      <c r="D36" s="5">
        <v>62.28</v>
      </c>
      <c r="E36" s="5">
        <v>-5.35</v>
      </c>
      <c r="F36" s="5">
        <v>52.35</v>
      </c>
      <c r="G36" s="5">
        <f t="shared" si="1"/>
        <v>52.62266622</v>
      </c>
      <c r="H36" s="5">
        <f t="shared" si="2"/>
        <v>-5.835184312</v>
      </c>
    </row>
    <row r="37" ht="15.75" customHeight="1">
      <c r="A37" s="5">
        <v>12.0</v>
      </c>
      <c r="B37" s="5" t="s">
        <v>13</v>
      </c>
      <c r="C37" s="31">
        <v>3.0</v>
      </c>
      <c r="D37" s="5">
        <v>51.79</v>
      </c>
      <c r="E37" s="5">
        <v>-3.93</v>
      </c>
      <c r="F37" s="5">
        <v>36.93</v>
      </c>
      <c r="G37" s="5">
        <f t="shared" si="1"/>
        <v>37.13852178</v>
      </c>
      <c r="H37" s="5">
        <f t="shared" si="2"/>
        <v>-6.074414836</v>
      </c>
    </row>
    <row r="38" ht="15.75" customHeight="1">
      <c r="A38" s="5">
        <v>13.0</v>
      </c>
      <c r="B38" s="5" t="s">
        <v>13</v>
      </c>
      <c r="C38" s="31">
        <v>1.0</v>
      </c>
      <c r="D38" s="5">
        <v>51.2</v>
      </c>
      <c r="E38" s="5">
        <v>-0.89</v>
      </c>
      <c r="F38" s="13">
        <v>47.68</v>
      </c>
      <c r="G38" s="5">
        <f t="shared" si="1"/>
        <v>47.68830569</v>
      </c>
      <c r="H38" s="5">
        <f t="shared" si="2"/>
        <v>-1.069364987</v>
      </c>
    </row>
    <row r="39" ht="15.75" customHeight="1">
      <c r="A39" s="5">
        <v>13.0</v>
      </c>
      <c r="B39" s="5" t="s">
        <v>13</v>
      </c>
      <c r="C39" s="31">
        <v>2.0</v>
      </c>
      <c r="D39" s="5">
        <v>55.69</v>
      </c>
      <c r="E39" s="5">
        <v>8.67</v>
      </c>
      <c r="F39" s="5">
        <v>56.07</v>
      </c>
      <c r="G39" s="5">
        <f t="shared" si="1"/>
        <v>56.73635343</v>
      </c>
      <c r="H39" s="5">
        <f t="shared" si="2"/>
        <v>8.789925865</v>
      </c>
    </row>
    <row r="40" ht="15.75" customHeight="1">
      <c r="A40" s="5">
        <v>13.0</v>
      </c>
      <c r="B40" s="5" t="s">
        <v>13</v>
      </c>
      <c r="C40" s="31">
        <v>3.0</v>
      </c>
      <c r="D40" s="5">
        <v>58.09</v>
      </c>
      <c r="E40" s="13">
        <v>1.26</v>
      </c>
      <c r="F40" s="5">
        <v>40.4</v>
      </c>
      <c r="G40" s="5">
        <f t="shared" si="1"/>
        <v>40.41964374</v>
      </c>
      <c r="H40" s="5">
        <f t="shared" si="2"/>
        <v>1.78636853</v>
      </c>
    </row>
    <row r="41" ht="15.75" customHeight="1">
      <c r="A41" s="5">
        <v>14.0</v>
      </c>
      <c r="B41" s="5" t="s">
        <v>13</v>
      </c>
      <c r="C41" s="31">
        <v>1.0</v>
      </c>
      <c r="D41" s="5">
        <v>54.89</v>
      </c>
      <c r="E41" s="5">
        <v>-4.76</v>
      </c>
      <c r="F41" s="5">
        <v>30.26</v>
      </c>
      <c r="G41" s="5">
        <f t="shared" si="1"/>
        <v>30.63209428</v>
      </c>
      <c r="H41" s="5">
        <f t="shared" si="2"/>
        <v>-8.939565003</v>
      </c>
    </row>
    <row r="42" ht="15.75" customHeight="1">
      <c r="A42" s="5">
        <v>14.0</v>
      </c>
      <c r="B42" s="5" t="s">
        <v>13</v>
      </c>
      <c r="C42" s="31">
        <v>2.0</v>
      </c>
      <c r="D42" s="5">
        <v>58.56</v>
      </c>
      <c r="E42" s="5">
        <v>9.03</v>
      </c>
      <c r="F42" s="5">
        <v>48.03</v>
      </c>
      <c r="G42" s="5">
        <f t="shared" si="1"/>
        <v>48.87148248</v>
      </c>
      <c r="H42" s="5">
        <f t="shared" si="2"/>
        <v>10.6477425</v>
      </c>
    </row>
    <row r="43" ht="15.75" customHeight="1">
      <c r="A43" s="5">
        <v>14.0</v>
      </c>
      <c r="B43" s="5" t="s">
        <v>13</v>
      </c>
      <c r="C43" s="31">
        <v>3.0</v>
      </c>
      <c r="D43" s="5">
        <v>52.81</v>
      </c>
      <c r="E43" s="5">
        <v>-4.12</v>
      </c>
      <c r="F43" s="5">
        <v>27.79</v>
      </c>
      <c r="G43" s="5">
        <f t="shared" si="1"/>
        <v>28.09374486</v>
      </c>
      <c r="H43" s="5">
        <f t="shared" si="2"/>
        <v>-8.432946594</v>
      </c>
    </row>
    <row r="44" ht="15.75" customHeight="1">
      <c r="A44" s="5">
        <v>15.0</v>
      </c>
      <c r="B44" s="5" t="s">
        <v>13</v>
      </c>
      <c r="C44" s="31">
        <v>1.0</v>
      </c>
      <c r="D44" s="5">
        <v>46.67</v>
      </c>
      <c r="E44" s="5">
        <v>-8.73</v>
      </c>
      <c r="F44" s="5">
        <v>30.72</v>
      </c>
      <c r="G44" s="5">
        <f t="shared" si="1"/>
        <v>31.93636329</v>
      </c>
      <c r="H44" s="5">
        <f t="shared" si="2"/>
        <v>-15.86407291</v>
      </c>
    </row>
    <row r="45" ht="15.75" customHeight="1">
      <c r="A45" s="5">
        <v>15.0</v>
      </c>
      <c r="B45" s="5" t="s">
        <v>13</v>
      </c>
      <c r="C45" s="31">
        <v>2.0</v>
      </c>
      <c r="D45" s="5">
        <v>58.59</v>
      </c>
      <c r="E45" s="5">
        <v>-4.76</v>
      </c>
      <c r="F45" s="5">
        <v>25.99</v>
      </c>
      <c r="G45" s="5">
        <f t="shared" si="1"/>
        <v>26.42229551</v>
      </c>
      <c r="H45" s="5">
        <f t="shared" si="2"/>
        <v>-10.37854873</v>
      </c>
    </row>
    <row r="46" ht="15.75" customHeight="1">
      <c r="A46" s="5">
        <v>15.0</v>
      </c>
      <c r="B46" s="5" t="s">
        <v>13</v>
      </c>
      <c r="C46" s="31">
        <v>3.0</v>
      </c>
      <c r="D46" s="5">
        <v>45.6</v>
      </c>
      <c r="E46" s="13">
        <v>-2.02</v>
      </c>
      <c r="F46" s="13">
        <v>24.97</v>
      </c>
      <c r="G46" s="5">
        <f t="shared" si="1"/>
        <v>25.0515728</v>
      </c>
      <c r="H46" s="5">
        <f t="shared" si="2"/>
        <v>-4.624989442</v>
      </c>
    </row>
    <row r="47" ht="15.75" customHeight="1">
      <c r="A47" s="5">
        <v>16.0</v>
      </c>
      <c r="B47" s="5" t="s">
        <v>13</v>
      </c>
      <c r="C47" s="31">
        <v>1.0</v>
      </c>
      <c r="D47" s="5">
        <v>44.71</v>
      </c>
      <c r="E47" s="5">
        <v>-8.93</v>
      </c>
      <c r="F47" s="5">
        <v>34.17</v>
      </c>
      <c r="G47" s="5">
        <f t="shared" si="1"/>
        <v>35.31761317</v>
      </c>
      <c r="H47" s="5">
        <f t="shared" si="2"/>
        <v>-14.64612675</v>
      </c>
    </row>
    <row r="48" ht="15.75" customHeight="1">
      <c r="A48" s="5">
        <v>16.0</v>
      </c>
      <c r="B48" s="5" t="s">
        <v>13</v>
      </c>
      <c r="C48" s="31">
        <v>2.0</v>
      </c>
      <c r="D48" s="5">
        <v>55.71</v>
      </c>
      <c r="E48" s="5">
        <v>-9.73</v>
      </c>
      <c r="F48" s="13">
        <v>42.13</v>
      </c>
      <c r="G48" s="5">
        <f t="shared" si="1"/>
        <v>43.23898472</v>
      </c>
      <c r="H48" s="5">
        <f t="shared" si="2"/>
        <v>-13.0045488</v>
      </c>
    </row>
    <row r="49" ht="15.75" customHeight="1">
      <c r="A49" s="5">
        <v>16.0</v>
      </c>
      <c r="B49" s="5" t="s">
        <v>13</v>
      </c>
      <c r="C49" s="31">
        <v>3.0</v>
      </c>
      <c r="D49" s="5">
        <v>59.87</v>
      </c>
      <c r="E49" s="5">
        <v>-5.7</v>
      </c>
      <c r="F49" s="5">
        <v>27.97</v>
      </c>
      <c r="G49" s="5">
        <f t="shared" si="1"/>
        <v>28.54489271</v>
      </c>
      <c r="H49" s="5">
        <f t="shared" si="2"/>
        <v>-11.51856613</v>
      </c>
    </row>
    <row r="50" ht="15.75" customHeight="1">
      <c r="A50" s="5">
        <v>17.0</v>
      </c>
      <c r="B50" s="5" t="s">
        <v>13</v>
      </c>
      <c r="C50" s="31">
        <v>1.0</v>
      </c>
      <c r="D50" s="5">
        <v>46.91</v>
      </c>
      <c r="E50" s="13">
        <v>-7.69</v>
      </c>
      <c r="F50" s="5">
        <v>28.41</v>
      </c>
      <c r="G50" s="5">
        <f t="shared" si="1"/>
        <v>29.43236654</v>
      </c>
      <c r="H50" s="5">
        <f t="shared" si="2"/>
        <v>-15.14584743</v>
      </c>
    </row>
    <row r="51" ht="15.75" customHeight="1">
      <c r="A51" s="5">
        <v>17.0</v>
      </c>
      <c r="B51" s="5" t="s">
        <v>13</v>
      </c>
      <c r="C51" s="31">
        <v>2.0</v>
      </c>
      <c r="D51" s="5">
        <v>43.6</v>
      </c>
      <c r="E51" s="5">
        <v>-8.36</v>
      </c>
      <c r="F51" s="5">
        <v>37.56</v>
      </c>
      <c r="G51" s="5">
        <f t="shared" si="1"/>
        <v>38.47912681</v>
      </c>
      <c r="H51" s="5">
        <f t="shared" si="2"/>
        <v>-12.5481884</v>
      </c>
    </row>
    <row r="52" ht="15.75" customHeight="1">
      <c r="A52" s="5">
        <v>17.0</v>
      </c>
      <c r="B52" s="5" t="s">
        <v>13</v>
      </c>
      <c r="C52" s="31">
        <v>3.0</v>
      </c>
      <c r="D52" s="5">
        <v>55.27</v>
      </c>
      <c r="E52" s="5">
        <v>-5.96</v>
      </c>
      <c r="F52" s="5">
        <v>25.82</v>
      </c>
      <c r="G52" s="5">
        <f t="shared" si="1"/>
        <v>26.49894338</v>
      </c>
      <c r="H52" s="5">
        <f t="shared" si="2"/>
        <v>-12.99785805</v>
      </c>
    </row>
    <row r="53" ht="15.75" customHeight="1">
      <c r="A53" s="5">
        <v>18.0</v>
      </c>
      <c r="B53" s="5" t="s">
        <v>13</v>
      </c>
      <c r="C53" s="31">
        <v>1.0</v>
      </c>
      <c r="D53" s="5">
        <v>46.04</v>
      </c>
      <c r="E53" s="5">
        <v>-5.72</v>
      </c>
      <c r="F53" s="13">
        <v>21.94</v>
      </c>
      <c r="G53" s="5">
        <f t="shared" si="1"/>
        <v>22.67337646</v>
      </c>
      <c r="H53" s="5">
        <f t="shared" si="2"/>
        <v>-14.61236903</v>
      </c>
    </row>
    <row r="54" ht="15.75" customHeight="1">
      <c r="A54" s="5">
        <v>18.0</v>
      </c>
      <c r="B54" s="5" t="s">
        <v>13</v>
      </c>
      <c r="C54" s="31">
        <v>2.0</v>
      </c>
      <c r="D54" s="5">
        <v>52.32</v>
      </c>
      <c r="E54" s="5">
        <v>-6.05</v>
      </c>
      <c r="F54" s="13">
        <v>31.72</v>
      </c>
      <c r="G54" s="5">
        <f t="shared" si="1"/>
        <v>32.29180856</v>
      </c>
      <c r="H54" s="5">
        <f t="shared" si="2"/>
        <v>-10.79840768</v>
      </c>
    </row>
    <row r="55" ht="15.75" customHeight="1">
      <c r="A55" s="5">
        <v>18.0</v>
      </c>
      <c r="B55" s="5" t="s">
        <v>13</v>
      </c>
      <c r="C55" s="31">
        <v>3.0</v>
      </c>
      <c r="D55" s="5">
        <v>40.85</v>
      </c>
      <c r="E55" s="5">
        <v>-5.65</v>
      </c>
      <c r="F55" s="5">
        <v>23.89</v>
      </c>
      <c r="G55" s="5">
        <f t="shared" si="1"/>
        <v>24.54902442</v>
      </c>
      <c r="H55" s="5">
        <f t="shared" si="2"/>
        <v>-13.30600383</v>
      </c>
    </row>
    <row r="56" ht="15.75" customHeight="1">
      <c r="A56" s="5">
        <v>19.0</v>
      </c>
      <c r="B56" s="5" t="s">
        <v>13</v>
      </c>
      <c r="C56" s="31">
        <v>1.0</v>
      </c>
      <c r="D56" s="5">
        <v>40.32</v>
      </c>
      <c r="E56" s="5">
        <v>-6.05</v>
      </c>
      <c r="F56" s="5">
        <v>25.61</v>
      </c>
      <c r="G56" s="5">
        <f t="shared" si="1"/>
        <v>26.31491212</v>
      </c>
      <c r="H56" s="5">
        <f t="shared" si="2"/>
        <v>-13.29163566</v>
      </c>
    </row>
    <row r="57" ht="15.75" customHeight="1">
      <c r="A57" s="5">
        <v>19.0</v>
      </c>
      <c r="B57" s="5" t="s">
        <v>13</v>
      </c>
      <c r="C57" s="31">
        <v>2.0</v>
      </c>
      <c r="D57" s="5">
        <v>57.54</v>
      </c>
      <c r="E57" s="5">
        <v>-4.69</v>
      </c>
      <c r="F57" s="5">
        <v>37.09</v>
      </c>
      <c r="G57" s="5">
        <f t="shared" si="1"/>
        <v>37.3853474</v>
      </c>
      <c r="H57" s="5">
        <f t="shared" si="2"/>
        <v>-7.206756067</v>
      </c>
    </row>
    <row r="58" ht="15.75" customHeight="1">
      <c r="A58" s="5">
        <v>19.0</v>
      </c>
      <c r="B58" s="5" t="s">
        <v>13</v>
      </c>
      <c r="C58" s="31">
        <v>3.0</v>
      </c>
      <c r="D58" s="5">
        <v>52.18</v>
      </c>
      <c r="E58" s="5">
        <v>-4.05</v>
      </c>
      <c r="F58" s="5">
        <v>24.59</v>
      </c>
      <c r="G58" s="5">
        <f t="shared" si="1"/>
        <v>24.92128809</v>
      </c>
      <c r="H58" s="5">
        <f t="shared" si="2"/>
        <v>-9.352712367</v>
      </c>
    </row>
    <row r="59" ht="15.75" customHeight="1">
      <c r="A59" s="5">
        <v>20.0</v>
      </c>
      <c r="B59" s="5" t="s">
        <v>13</v>
      </c>
      <c r="C59" s="31">
        <v>1.0</v>
      </c>
      <c r="D59" s="5">
        <v>33.68</v>
      </c>
      <c r="E59" s="5">
        <v>-1.92</v>
      </c>
      <c r="F59" s="5">
        <v>24.72</v>
      </c>
      <c r="G59" s="5">
        <f t="shared" si="1"/>
        <v>24.79445099</v>
      </c>
      <c r="H59" s="5">
        <f t="shared" si="2"/>
        <v>-4.441241189</v>
      </c>
    </row>
    <row r="60" ht="15.75" customHeight="1">
      <c r="A60" s="5">
        <v>20.0</v>
      </c>
      <c r="B60" s="5" t="s">
        <v>13</v>
      </c>
      <c r="C60" s="31">
        <v>2.0</v>
      </c>
      <c r="D60" s="5">
        <v>51.71</v>
      </c>
      <c r="E60" s="5">
        <v>-0.42</v>
      </c>
      <c r="F60" s="5">
        <v>37.87</v>
      </c>
      <c r="G60" s="5">
        <f t="shared" si="1"/>
        <v>37.87232895</v>
      </c>
      <c r="H60" s="5">
        <f t="shared" si="2"/>
        <v>-0.6354169746</v>
      </c>
    </row>
    <row r="61" ht="15.75" customHeight="1">
      <c r="A61" s="5">
        <v>20.0</v>
      </c>
      <c r="B61" s="5" t="s">
        <v>13</v>
      </c>
      <c r="C61" s="31">
        <v>3.0</v>
      </c>
      <c r="D61" s="5">
        <v>47.22</v>
      </c>
      <c r="E61" s="5">
        <v>0.49</v>
      </c>
      <c r="F61" s="5">
        <v>33.37</v>
      </c>
      <c r="G61" s="5">
        <f t="shared" si="1"/>
        <v>33.37359735</v>
      </c>
      <c r="H61" s="5">
        <f t="shared" si="2"/>
        <v>0.8412620446</v>
      </c>
    </row>
    <row r="62" ht="15.75" customHeight="1">
      <c r="A62" s="5">
        <v>21.0</v>
      </c>
      <c r="B62" s="5" t="s">
        <v>13</v>
      </c>
      <c r="C62" s="31">
        <v>1.0</v>
      </c>
      <c r="D62" s="5">
        <v>48.32</v>
      </c>
      <c r="E62" s="5">
        <v>-5.93</v>
      </c>
      <c r="F62" s="5">
        <v>30.41</v>
      </c>
      <c r="G62" s="5">
        <f t="shared" si="1"/>
        <v>30.98278554</v>
      </c>
      <c r="H62" s="5">
        <f t="shared" si="2"/>
        <v>-11.03429976</v>
      </c>
    </row>
    <row r="63" ht="15.75" customHeight="1">
      <c r="A63" s="5">
        <v>21.0</v>
      </c>
      <c r="B63" s="5" t="s">
        <v>13</v>
      </c>
      <c r="C63" s="31">
        <v>2.0</v>
      </c>
      <c r="D63" s="13">
        <v>51.52</v>
      </c>
      <c r="E63" s="5">
        <v>-5.18</v>
      </c>
      <c r="F63" s="5">
        <v>29.2</v>
      </c>
      <c r="G63" s="5">
        <f t="shared" si="1"/>
        <v>29.65589992</v>
      </c>
      <c r="H63" s="5">
        <f t="shared" si="2"/>
        <v>-10.0594625</v>
      </c>
    </row>
    <row r="64" ht="15.75" customHeight="1">
      <c r="A64" s="5">
        <v>21.0</v>
      </c>
      <c r="B64" s="5" t="s">
        <v>13</v>
      </c>
      <c r="C64" s="31">
        <v>3.0</v>
      </c>
      <c r="D64" s="5">
        <v>48.38</v>
      </c>
      <c r="E64" s="5">
        <v>-4.03</v>
      </c>
      <c r="F64" s="5">
        <v>25.73</v>
      </c>
      <c r="G64" s="5">
        <f t="shared" si="1"/>
        <v>26.04369021</v>
      </c>
      <c r="H64" s="5">
        <f t="shared" si="2"/>
        <v>-8.901716033</v>
      </c>
    </row>
    <row r="65" ht="15.75" customHeight="1">
      <c r="A65" s="5">
        <v>22.0</v>
      </c>
      <c r="B65" s="5" t="s">
        <v>13</v>
      </c>
      <c r="C65" s="31">
        <v>1.0</v>
      </c>
      <c r="D65" s="5">
        <v>51.82</v>
      </c>
      <c r="E65" s="5">
        <v>-5.63</v>
      </c>
      <c r="F65" s="5">
        <v>19.83</v>
      </c>
      <c r="G65" s="5">
        <f t="shared" si="1"/>
        <v>20.61372844</v>
      </c>
      <c r="H65" s="5">
        <f t="shared" si="2"/>
        <v>-15.84994757</v>
      </c>
    </row>
    <row r="66" ht="15.75" customHeight="1">
      <c r="A66" s="5">
        <v>22.0</v>
      </c>
      <c r="B66" s="5" t="s">
        <v>13</v>
      </c>
      <c r="C66" s="31">
        <v>2.0</v>
      </c>
      <c r="D66" s="5">
        <v>67.77</v>
      </c>
      <c r="E66" s="5">
        <v>-7.38</v>
      </c>
      <c r="F66" s="5">
        <v>32.49</v>
      </c>
      <c r="G66" s="5">
        <f t="shared" si="1"/>
        <v>33.31763047</v>
      </c>
      <c r="H66" s="5">
        <f t="shared" si="2"/>
        <v>-12.79740594</v>
      </c>
    </row>
    <row r="67" ht="15.75" customHeight="1">
      <c r="A67" s="5">
        <v>22.0</v>
      </c>
      <c r="B67" s="5" t="s">
        <v>13</v>
      </c>
      <c r="C67" s="31">
        <v>3.0</v>
      </c>
      <c r="D67" s="5">
        <v>41.1</v>
      </c>
      <c r="E67" s="5">
        <v>-5.58</v>
      </c>
      <c r="F67" s="5">
        <v>23.2</v>
      </c>
      <c r="G67" s="5">
        <f t="shared" si="1"/>
        <v>23.86160933</v>
      </c>
      <c r="H67" s="5">
        <f t="shared" si="2"/>
        <v>-13.52375169</v>
      </c>
    </row>
    <row r="68" ht="15.75" customHeight="1">
      <c r="A68" s="5">
        <v>23.0</v>
      </c>
      <c r="B68" s="5" t="s">
        <v>14</v>
      </c>
      <c r="C68" s="31">
        <v>1.0</v>
      </c>
      <c r="D68" s="13">
        <v>42.77</v>
      </c>
      <c r="E68" s="5">
        <v>29.16</v>
      </c>
      <c r="F68" s="5">
        <v>25.7</v>
      </c>
      <c r="G68" s="5">
        <f t="shared" si="1"/>
        <v>38.86895419</v>
      </c>
      <c r="H68" s="5">
        <f t="shared" si="2"/>
        <v>48.60884372</v>
      </c>
    </row>
    <row r="69" ht="15.75" customHeight="1">
      <c r="A69" s="5">
        <v>23.0</v>
      </c>
      <c r="B69" s="5" t="s">
        <v>14</v>
      </c>
      <c r="C69" s="31">
        <v>2.0</v>
      </c>
      <c r="D69" s="5">
        <v>54.28</v>
      </c>
      <c r="E69" s="5">
        <v>8.09</v>
      </c>
      <c r="F69" s="5">
        <v>49.84</v>
      </c>
      <c r="G69" s="5">
        <f t="shared" si="1"/>
        <v>50.49231328</v>
      </c>
      <c r="H69" s="5">
        <f t="shared" si="2"/>
        <v>9.219805786</v>
      </c>
    </row>
    <row r="70" ht="15.75" customHeight="1">
      <c r="A70" s="5">
        <v>23.0</v>
      </c>
      <c r="B70" s="5" t="s">
        <v>14</v>
      </c>
      <c r="C70" s="31">
        <v>3.0</v>
      </c>
      <c r="D70" s="5">
        <v>53.28</v>
      </c>
      <c r="E70" s="5">
        <v>11.34</v>
      </c>
      <c r="F70" s="5">
        <v>45.56</v>
      </c>
      <c r="G70" s="5">
        <f t="shared" si="1"/>
        <v>46.95007135</v>
      </c>
      <c r="H70" s="5">
        <f t="shared" si="2"/>
        <v>13.97704752</v>
      </c>
    </row>
    <row r="71" ht="15.75" customHeight="1">
      <c r="A71" s="5">
        <v>24.0</v>
      </c>
      <c r="B71" s="5" t="s">
        <v>14</v>
      </c>
      <c r="C71" s="31">
        <v>1.0</v>
      </c>
      <c r="D71" s="5">
        <v>41.04</v>
      </c>
      <c r="E71" s="13">
        <v>19.12</v>
      </c>
      <c r="F71" s="5">
        <v>29.83</v>
      </c>
      <c r="G71" s="5">
        <f t="shared" si="1"/>
        <v>35.43167086</v>
      </c>
      <c r="H71" s="5">
        <f t="shared" si="2"/>
        <v>32.65846921</v>
      </c>
    </row>
    <row r="72" ht="15.75" customHeight="1">
      <c r="A72" s="5">
        <v>24.0</v>
      </c>
      <c r="B72" s="5" t="s">
        <v>14</v>
      </c>
      <c r="C72" s="31">
        <v>2.0</v>
      </c>
      <c r="D72" s="13">
        <v>40.77</v>
      </c>
      <c r="E72" s="5">
        <v>25.26</v>
      </c>
      <c r="F72" s="5">
        <v>29.46</v>
      </c>
      <c r="G72" s="5">
        <f t="shared" si="1"/>
        <v>38.80669014</v>
      </c>
      <c r="H72" s="5">
        <f t="shared" si="2"/>
        <v>40.61090319</v>
      </c>
    </row>
    <row r="73" ht="15.75" customHeight="1">
      <c r="A73" s="5">
        <v>24.0</v>
      </c>
      <c r="B73" s="5" t="s">
        <v>14</v>
      </c>
      <c r="C73" s="31">
        <v>3.0</v>
      </c>
      <c r="D73" s="5">
        <v>35.41</v>
      </c>
      <c r="E73" s="5">
        <v>18.54</v>
      </c>
      <c r="F73" s="13">
        <v>28.56</v>
      </c>
      <c r="G73" s="5">
        <f t="shared" si="1"/>
        <v>34.05003965</v>
      </c>
      <c r="H73" s="5">
        <f t="shared" si="2"/>
        <v>32.99000731</v>
      </c>
    </row>
    <row r="74" ht="15.75" customHeight="1">
      <c r="A74" s="5">
        <v>25.0</v>
      </c>
      <c r="B74" s="5" t="s">
        <v>14</v>
      </c>
      <c r="C74" s="31">
        <v>1.0</v>
      </c>
      <c r="D74" s="5">
        <v>42.89</v>
      </c>
      <c r="E74" s="5">
        <v>18.78</v>
      </c>
      <c r="F74" s="13">
        <v>34.2</v>
      </c>
      <c r="G74" s="5">
        <f t="shared" si="1"/>
        <v>39.01702705</v>
      </c>
      <c r="H74" s="5">
        <f t="shared" si="2"/>
        <v>28.77219254</v>
      </c>
    </row>
    <row r="75" ht="15.75" customHeight="1">
      <c r="A75" s="5">
        <v>25.0</v>
      </c>
      <c r="B75" s="5" t="s">
        <v>14</v>
      </c>
      <c r="C75" s="31">
        <v>2.0</v>
      </c>
      <c r="D75" s="5">
        <v>45.57</v>
      </c>
      <c r="E75" s="13">
        <v>24.36</v>
      </c>
      <c r="F75" s="5">
        <v>34.62</v>
      </c>
      <c r="G75" s="5">
        <f t="shared" si="1"/>
        <v>42.33147765</v>
      </c>
      <c r="H75" s="5">
        <f t="shared" si="2"/>
        <v>35.13173327</v>
      </c>
    </row>
    <row r="76" ht="15.75" customHeight="1">
      <c r="A76" s="5">
        <v>25.0</v>
      </c>
      <c r="B76" s="5" t="s">
        <v>14</v>
      </c>
      <c r="C76" s="31">
        <v>3.0</v>
      </c>
      <c r="D76" s="13">
        <v>41.08</v>
      </c>
      <c r="E76" s="5">
        <v>17.49</v>
      </c>
      <c r="F76" s="5">
        <v>27.96</v>
      </c>
      <c r="G76" s="5">
        <f t="shared" si="1"/>
        <v>32.97971649</v>
      </c>
      <c r="H76" s="5">
        <f t="shared" si="2"/>
        <v>32.02748167</v>
      </c>
    </row>
    <row r="77" ht="15.75" customHeight="1">
      <c r="A77" s="5">
        <v>26.0</v>
      </c>
      <c r="B77" s="5" t="s">
        <v>14</v>
      </c>
      <c r="C77" s="31">
        <v>1.0</v>
      </c>
      <c r="D77" s="5">
        <v>47.11</v>
      </c>
      <c r="E77" s="5">
        <v>19.83</v>
      </c>
      <c r="F77" s="5">
        <v>40.0</v>
      </c>
      <c r="G77" s="5">
        <f t="shared" si="1"/>
        <v>44.64559217</v>
      </c>
      <c r="H77" s="5">
        <f t="shared" si="2"/>
        <v>26.36991455</v>
      </c>
    </row>
    <row r="78" ht="15.75" customHeight="1">
      <c r="A78" s="5">
        <v>26.0</v>
      </c>
      <c r="B78" s="5" t="s">
        <v>14</v>
      </c>
      <c r="C78" s="31">
        <v>2.0</v>
      </c>
      <c r="D78" s="5">
        <v>41.21</v>
      </c>
      <c r="E78" s="5">
        <v>31.24</v>
      </c>
      <c r="F78" s="5">
        <v>30.44</v>
      </c>
      <c r="G78" s="5">
        <f t="shared" si="1"/>
        <v>43.61801463</v>
      </c>
      <c r="H78" s="5">
        <f t="shared" si="2"/>
        <v>45.74309425</v>
      </c>
    </row>
    <row r="79" ht="15.75" customHeight="1">
      <c r="A79" s="5">
        <v>26.0</v>
      </c>
      <c r="B79" s="5" t="s">
        <v>14</v>
      </c>
      <c r="C79" s="31">
        <v>3.0</v>
      </c>
      <c r="D79" s="5">
        <v>52.66</v>
      </c>
      <c r="E79" s="5">
        <v>10.54</v>
      </c>
      <c r="F79" s="5">
        <v>42.63</v>
      </c>
      <c r="G79" s="5">
        <f t="shared" si="1"/>
        <v>43.91364822</v>
      </c>
      <c r="H79" s="5">
        <f t="shared" si="2"/>
        <v>13.88751401</v>
      </c>
    </row>
    <row r="80" ht="15.75" customHeight="1">
      <c r="A80" s="5">
        <v>27.0</v>
      </c>
      <c r="B80" s="5" t="s">
        <v>14</v>
      </c>
      <c r="C80" s="31">
        <v>1.0</v>
      </c>
      <c r="D80" s="5">
        <v>38.16</v>
      </c>
      <c r="E80" s="5">
        <v>16.48</v>
      </c>
      <c r="F80" s="5">
        <v>27.6</v>
      </c>
      <c r="G80" s="5">
        <f t="shared" si="1"/>
        <v>32.145768</v>
      </c>
      <c r="H80" s="5">
        <f t="shared" si="2"/>
        <v>30.84148659</v>
      </c>
    </row>
    <row r="81" ht="15.75" customHeight="1">
      <c r="A81" s="5">
        <v>27.0</v>
      </c>
      <c r="B81" s="5" t="s">
        <v>14</v>
      </c>
      <c r="C81" s="31">
        <v>2.0</v>
      </c>
      <c r="D81" s="13">
        <v>39.68</v>
      </c>
      <c r="E81" s="5">
        <v>24.78</v>
      </c>
      <c r="F81" s="5">
        <v>26.44</v>
      </c>
      <c r="G81" s="5">
        <f t="shared" si="1"/>
        <v>36.23702526</v>
      </c>
      <c r="H81" s="5">
        <f t="shared" si="2"/>
        <v>43.14373849</v>
      </c>
    </row>
    <row r="82" ht="15.75" customHeight="1">
      <c r="A82" s="5">
        <v>27.0</v>
      </c>
      <c r="B82" s="5" t="s">
        <v>14</v>
      </c>
      <c r="C82" s="31">
        <v>3.0</v>
      </c>
      <c r="D82" s="5">
        <v>46.61</v>
      </c>
      <c r="E82" s="5">
        <v>12.29</v>
      </c>
      <c r="F82" s="5">
        <v>37.36</v>
      </c>
      <c r="G82" s="5">
        <f t="shared" si="1"/>
        <v>39.3295525</v>
      </c>
      <c r="H82" s="5">
        <f t="shared" si="2"/>
        <v>18.20921282</v>
      </c>
    </row>
    <row r="83" ht="15.75" customHeight="1">
      <c r="A83" s="5">
        <v>28.0</v>
      </c>
      <c r="B83" s="5" t="s">
        <v>14</v>
      </c>
      <c r="C83" s="31">
        <v>1.0</v>
      </c>
      <c r="D83" s="5">
        <v>46.41</v>
      </c>
      <c r="E83" s="13">
        <v>11.78</v>
      </c>
      <c r="F83" s="5">
        <v>40.32</v>
      </c>
      <c r="G83" s="5">
        <f t="shared" si="1"/>
        <v>42.00560439</v>
      </c>
      <c r="H83" s="5">
        <f t="shared" si="2"/>
        <v>16.28639357</v>
      </c>
    </row>
    <row r="84" ht="15.75" customHeight="1">
      <c r="A84" s="5">
        <v>28.0</v>
      </c>
      <c r="B84" s="5" t="s">
        <v>14</v>
      </c>
      <c r="C84" s="31">
        <v>2.0</v>
      </c>
      <c r="D84" s="13">
        <v>51.17</v>
      </c>
      <c r="E84" s="5">
        <v>6.7</v>
      </c>
      <c r="F84" s="5">
        <v>39.21</v>
      </c>
      <c r="G84" s="5">
        <f t="shared" si="1"/>
        <v>39.77831193</v>
      </c>
      <c r="H84" s="5">
        <f t="shared" si="2"/>
        <v>9.696751474</v>
      </c>
    </row>
    <row r="85" ht="15.75" customHeight="1">
      <c r="A85" s="5">
        <v>28.0</v>
      </c>
      <c r="B85" s="5" t="s">
        <v>14</v>
      </c>
      <c r="C85" s="31">
        <v>3.0</v>
      </c>
      <c r="D85" s="5">
        <v>51.4</v>
      </c>
      <c r="E85" s="5">
        <v>9.23</v>
      </c>
      <c r="F85" s="5">
        <v>34.26</v>
      </c>
      <c r="G85" s="5">
        <f t="shared" si="1"/>
        <v>35.48155154</v>
      </c>
      <c r="H85" s="5">
        <f t="shared" si="2"/>
        <v>15.07808373</v>
      </c>
    </row>
    <row r="86" ht="15.75" customHeight="1">
      <c r="A86" s="5">
        <v>29.0</v>
      </c>
      <c r="B86" s="5" t="s">
        <v>14</v>
      </c>
      <c r="C86" s="31">
        <v>1.0</v>
      </c>
      <c r="D86" s="5">
        <v>23.58</v>
      </c>
      <c r="E86" s="13">
        <v>16.43</v>
      </c>
      <c r="F86" s="13">
        <v>46.99</v>
      </c>
      <c r="G86" s="5">
        <f t="shared" si="1"/>
        <v>49.77956408</v>
      </c>
      <c r="H86" s="5">
        <f t="shared" si="2"/>
        <v>19.27212109</v>
      </c>
    </row>
    <row r="87" ht="15.75" customHeight="1">
      <c r="A87" s="5">
        <v>29.0</v>
      </c>
      <c r="B87" s="5" t="s">
        <v>14</v>
      </c>
      <c r="C87" s="31">
        <v>2.0</v>
      </c>
      <c r="D87" s="13">
        <v>39.19</v>
      </c>
      <c r="E87" s="5">
        <v>26.34</v>
      </c>
      <c r="F87" s="5">
        <v>28.46</v>
      </c>
      <c r="G87" s="5">
        <f t="shared" si="1"/>
        <v>38.77843731</v>
      </c>
      <c r="H87" s="5">
        <f t="shared" si="2"/>
        <v>42.78455273</v>
      </c>
    </row>
    <row r="88" ht="15.75" customHeight="1">
      <c r="A88" s="5">
        <v>29.0</v>
      </c>
      <c r="B88" s="5" t="s">
        <v>14</v>
      </c>
      <c r="C88" s="31">
        <v>3.0</v>
      </c>
      <c r="D88" s="5">
        <v>47.89</v>
      </c>
      <c r="E88" s="5">
        <v>13.98</v>
      </c>
      <c r="F88" s="5">
        <v>34.25</v>
      </c>
      <c r="G88" s="5">
        <f t="shared" si="1"/>
        <v>36.99328182</v>
      </c>
      <c r="H88" s="5">
        <f t="shared" si="2"/>
        <v>22.20406382</v>
      </c>
    </row>
    <row r="89" ht="15.75" customHeight="1">
      <c r="A89" s="5">
        <v>30.0</v>
      </c>
      <c r="B89" s="5" t="s">
        <v>14</v>
      </c>
      <c r="C89" s="31">
        <v>1.0</v>
      </c>
      <c r="D89" s="5">
        <v>47.03</v>
      </c>
      <c r="E89" s="5">
        <v>15.15</v>
      </c>
      <c r="F89" s="5">
        <v>43.72</v>
      </c>
      <c r="G89" s="5">
        <f t="shared" si="1"/>
        <v>46.27051869</v>
      </c>
      <c r="H89" s="5">
        <f t="shared" si="2"/>
        <v>19.11239452</v>
      </c>
    </row>
    <row r="90" ht="15.75" customHeight="1">
      <c r="A90" s="5">
        <v>30.0</v>
      </c>
      <c r="B90" s="5" t="s">
        <v>14</v>
      </c>
      <c r="C90" s="31">
        <v>2.0</v>
      </c>
      <c r="D90" s="5">
        <v>55.15</v>
      </c>
      <c r="E90" s="5">
        <v>19.23</v>
      </c>
      <c r="F90" s="5">
        <v>63.38</v>
      </c>
      <c r="G90" s="5">
        <f t="shared" si="1"/>
        <v>66.23305293</v>
      </c>
      <c r="H90" s="5">
        <f t="shared" si="2"/>
        <v>16.87821787</v>
      </c>
    </row>
    <row r="91" ht="15.75" customHeight="1">
      <c r="A91" s="5">
        <v>30.0</v>
      </c>
      <c r="B91" s="5" t="s">
        <v>14</v>
      </c>
      <c r="C91" s="31">
        <v>3.0</v>
      </c>
      <c r="D91" s="5">
        <v>46.58</v>
      </c>
      <c r="E91" s="5">
        <v>24.18</v>
      </c>
      <c r="F91" s="5">
        <v>39.75</v>
      </c>
      <c r="G91" s="5">
        <f t="shared" si="1"/>
        <v>46.52671168</v>
      </c>
      <c r="H91" s="5">
        <f t="shared" si="2"/>
        <v>31.31222817</v>
      </c>
    </row>
    <row r="92" ht="15.75" customHeight="1">
      <c r="A92" s="5">
        <v>31.0</v>
      </c>
      <c r="B92" s="5" t="s">
        <v>14</v>
      </c>
      <c r="C92" s="31">
        <v>1.0</v>
      </c>
      <c r="D92" s="5">
        <v>42.17</v>
      </c>
      <c r="E92" s="5">
        <v>25.39</v>
      </c>
      <c r="F92" s="5">
        <v>38.16</v>
      </c>
      <c r="G92" s="5">
        <f t="shared" si="1"/>
        <v>45.83489609</v>
      </c>
      <c r="H92" s="5">
        <f t="shared" si="2"/>
        <v>33.63806242</v>
      </c>
    </row>
    <row r="93" ht="15.75" customHeight="1">
      <c r="A93" s="5">
        <v>31.0</v>
      </c>
      <c r="B93" s="5" t="s">
        <v>14</v>
      </c>
      <c r="C93" s="31">
        <v>2.0</v>
      </c>
      <c r="D93" s="5">
        <v>45.11</v>
      </c>
      <c r="E93" s="5">
        <v>31.57</v>
      </c>
      <c r="F93" s="5">
        <v>37.71</v>
      </c>
      <c r="G93" s="5">
        <f t="shared" si="1"/>
        <v>49.1803721</v>
      </c>
      <c r="H93" s="5">
        <f t="shared" si="2"/>
        <v>39.93534445</v>
      </c>
    </row>
    <row r="94" ht="15.75" customHeight="1">
      <c r="A94" s="5">
        <v>31.0</v>
      </c>
      <c r="B94" s="5" t="s">
        <v>14</v>
      </c>
      <c r="C94" s="31">
        <v>3.0</v>
      </c>
      <c r="D94" s="5">
        <v>50.13</v>
      </c>
      <c r="E94" s="5">
        <v>14.36</v>
      </c>
      <c r="F94" s="5">
        <v>39.9</v>
      </c>
      <c r="G94" s="5">
        <f t="shared" si="1"/>
        <v>42.40541946</v>
      </c>
      <c r="H94" s="5">
        <f t="shared" si="2"/>
        <v>19.79379126</v>
      </c>
    </row>
    <row r="95" ht="15.75" customHeight="1">
      <c r="A95" s="5">
        <v>32.0</v>
      </c>
      <c r="B95" s="5" t="s">
        <v>14</v>
      </c>
      <c r="C95" s="31">
        <v>1.0</v>
      </c>
      <c r="D95" s="5">
        <v>45.61</v>
      </c>
      <c r="E95" s="5">
        <v>19.89</v>
      </c>
      <c r="F95" s="5">
        <v>41.4</v>
      </c>
      <c r="G95" s="5">
        <f t="shared" si="1"/>
        <v>45.93007838</v>
      </c>
      <c r="H95" s="5">
        <f t="shared" si="2"/>
        <v>25.66124882</v>
      </c>
    </row>
    <row r="96" ht="15.75" customHeight="1">
      <c r="A96" s="5">
        <v>32.0</v>
      </c>
      <c r="B96" s="5" t="s">
        <v>14</v>
      </c>
      <c r="C96" s="31">
        <v>2.0</v>
      </c>
      <c r="D96" s="5">
        <v>44.65</v>
      </c>
      <c r="E96" s="5">
        <v>32.15</v>
      </c>
      <c r="F96" s="5">
        <v>40.45</v>
      </c>
      <c r="G96" s="5">
        <f t="shared" si="1"/>
        <v>51.67034933</v>
      </c>
      <c r="H96" s="5">
        <f t="shared" si="2"/>
        <v>38.47797248</v>
      </c>
    </row>
    <row r="97" ht="15.75" customHeight="1">
      <c r="A97" s="5">
        <v>32.0</v>
      </c>
      <c r="B97" s="5" t="s">
        <v>14</v>
      </c>
      <c r="C97" s="31">
        <v>3.0</v>
      </c>
      <c r="D97" s="5">
        <v>56.83</v>
      </c>
      <c r="E97" s="5">
        <v>10.49</v>
      </c>
      <c r="F97" s="5">
        <v>44.56</v>
      </c>
      <c r="G97" s="5">
        <f t="shared" si="1"/>
        <v>45.77809192</v>
      </c>
      <c r="H97" s="5">
        <f t="shared" si="2"/>
        <v>13.24696988</v>
      </c>
    </row>
    <row r="98" ht="15.75" customHeight="1">
      <c r="A98" s="5">
        <v>33.0</v>
      </c>
      <c r="B98" s="5" t="s">
        <v>14</v>
      </c>
      <c r="C98" s="31">
        <v>1.0</v>
      </c>
      <c r="D98" s="5">
        <v>46.78</v>
      </c>
      <c r="E98" s="5">
        <v>8.32</v>
      </c>
      <c r="F98" s="5">
        <v>44.49</v>
      </c>
      <c r="G98" s="5">
        <f t="shared" si="1"/>
        <v>45.26126931</v>
      </c>
      <c r="H98" s="5">
        <f t="shared" si="2"/>
        <v>10.59243823</v>
      </c>
    </row>
    <row r="99" ht="15.75" customHeight="1">
      <c r="A99" s="5">
        <v>33.0</v>
      </c>
      <c r="B99" s="5" t="s">
        <v>14</v>
      </c>
      <c r="C99" s="31">
        <v>2.0</v>
      </c>
      <c r="D99" s="5">
        <v>54.75</v>
      </c>
      <c r="E99" s="5">
        <v>15.22</v>
      </c>
      <c r="F99" s="5">
        <v>49.54</v>
      </c>
      <c r="G99" s="5">
        <f t="shared" si="1"/>
        <v>51.8252834</v>
      </c>
      <c r="H99" s="5">
        <f t="shared" si="2"/>
        <v>17.07834433</v>
      </c>
    </row>
    <row r="100" ht="15.75" customHeight="1">
      <c r="A100" s="5">
        <v>33.0</v>
      </c>
      <c r="B100" s="5" t="s">
        <v>14</v>
      </c>
      <c r="C100" s="31">
        <v>3.0</v>
      </c>
      <c r="D100" s="5">
        <v>48.18</v>
      </c>
      <c r="E100" s="5">
        <v>0.82</v>
      </c>
      <c r="F100" s="5">
        <v>31.92</v>
      </c>
      <c r="G100" s="5">
        <f t="shared" si="1"/>
        <v>31.93053084</v>
      </c>
      <c r="H100" s="5">
        <f t="shared" si="2"/>
        <v>1.471560405</v>
      </c>
    </row>
    <row r="101" ht="15.75" customHeight="1">
      <c r="A101" s="5">
        <v>34.0</v>
      </c>
      <c r="B101" s="5" t="s">
        <v>14</v>
      </c>
      <c r="C101" s="31">
        <v>1.0</v>
      </c>
      <c r="D101" s="5">
        <v>47.58</v>
      </c>
      <c r="E101" s="5">
        <v>6.77</v>
      </c>
      <c r="F101" s="5">
        <v>41.74</v>
      </c>
      <c r="G101" s="5">
        <f t="shared" si="1"/>
        <v>42.28546441</v>
      </c>
      <c r="H101" s="5">
        <f t="shared" si="2"/>
        <v>9.212833979</v>
      </c>
    </row>
    <row r="102" ht="15.75" customHeight="1">
      <c r="A102" s="5">
        <v>34.0</v>
      </c>
      <c r="B102" s="5" t="s">
        <v>14</v>
      </c>
      <c r="C102" s="31">
        <v>2.0</v>
      </c>
      <c r="D102" s="5">
        <v>52.09</v>
      </c>
      <c r="E102" s="5">
        <v>21.39</v>
      </c>
      <c r="F102" s="5">
        <v>52.8</v>
      </c>
      <c r="G102" s="5">
        <f t="shared" si="1"/>
        <v>56.96816743</v>
      </c>
      <c r="H102" s="5">
        <f t="shared" si="2"/>
        <v>22.05354067</v>
      </c>
    </row>
    <row r="103" ht="15.75" customHeight="1">
      <c r="A103" s="5">
        <v>34.0</v>
      </c>
      <c r="B103" s="5" t="s">
        <v>14</v>
      </c>
      <c r="C103" s="31">
        <v>3.0</v>
      </c>
      <c r="D103" s="5">
        <v>57.8</v>
      </c>
      <c r="E103" s="5">
        <v>1.87</v>
      </c>
      <c r="F103" s="5">
        <v>41.9</v>
      </c>
      <c r="G103" s="5">
        <f t="shared" si="1"/>
        <v>41.94170836</v>
      </c>
      <c r="H103" s="5">
        <f t="shared" si="2"/>
        <v>2.555418978</v>
      </c>
    </row>
    <row r="104" ht="15.75" customHeight="1">
      <c r="A104" s="5">
        <v>35.0</v>
      </c>
      <c r="B104" s="5" t="s">
        <v>14</v>
      </c>
      <c r="C104" s="31">
        <v>1.0</v>
      </c>
      <c r="D104" s="5">
        <v>39.63</v>
      </c>
      <c r="E104" s="5">
        <v>21.96</v>
      </c>
      <c r="F104" s="5">
        <v>40.13</v>
      </c>
      <c r="G104" s="5">
        <f t="shared" si="1"/>
        <v>45.74558449</v>
      </c>
      <c r="H104" s="5">
        <f t="shared" si="2"/>
        <v>28.68842802</v>
      </c>
    </row>
    <row r="105" ht="15.75" customHeight="1">
      <c r="A105" s="5">
        <v>35.0</v>
      </c>
      <c r="B105" s="5" t="s">
        <v>14</v>
      </c>
      <c r="C105" s="31">
        <v>2.0</v>
      </c>
      <c r="D105" s="5">
        <v>47.71</v>
      </c>
      <c r="E105" s="5">
        <v>26.9</v>
      </c>
      <c r="F105" s="5">
        <v>44.37</v>
      </c>
      <c r="G105" s="5">
        <f t="shared" si="1"/>
        <v>51.88744453</v>
      </c>
      <c r="H105" s="5">
        <f t="shared" si="2"/>
        <v>31.22698764</v>
      </c>
    </row>
    <row r="106" ht="15.75" customHeight="1">
      <c r="A106" s="5">
        <v>35.0</v>
      </c>
      <c r="B106" s="5" t="s">
        <v>14</v>
      </c>
      <c r="C106" s="31">
        <v>3.0</v>
      </c>
      <c r="D106" s="5">
        <v>55.57</v>
      </c>
      <c r="E106" s="5">
        <v>11.45</v>
      </c>
      <c r="F106" s="5">
        <v>49.33</v>
      </c>
      <c r="G106" s="5">
        <f t="shared" si="1"/>
        <v>50.64140006</v>
      </c>
      <c r="H106" s="5">
        <f t="shared" si="2"/>
        <v>13.06754667</v>
      </c>
    </row>
    <row r="107" ht="15.75" customHeight="1">
      <c r="A107" s="5">
        <v>36.0</v>
      </c>
      <c r="B107" s="5" t="s">
        <v>14</v>
      </c>
      <c r="C107" s="31">
        <v>1.0</v>
      </c>
      <c r="D107" s="5">
        <v>45.95</v>
      </c>
      <c r="E107" s="5">
        <v>17.61</v>
      </c>
      <c r="F107" s="5">
        <v>34.05</v>
      </c>
      <c r="G107" s="5">
        <f t="shared" si="1"/>
        <v>38.33424839</v>
      </c>
      <c r="H107" s="5">
        <f t="shared" si="2"/>
        <v>27.3471291</v>
      </c>
    </row>
    <row r="108" ht="15.75" customHeight="1">
      <c r="A108" s="5">
        <v>36.0</v>
      </c>
      <c r="B108" s="5" t="s">
        <v>14</v>
      </c>
      <c r="C108" s="31">
        <v>2.0</v>
      </c>
      <c r="D108" s="5">
        <v>43.4</v>
      </c>
      <c r="E108" s="5">
        <v>24.36</v>
      </c>
      <c r="F108" s="5">
        <v>29.24</v>
      </c>
      <c r="G108" s="5">
        <f t="shared" si="1"/>
        <v>38.05768254</v>
      </c>
      <c r="H108" s="5">
        <f t="shared" si="2"/>
        <v>39.79786072</v>
      </c>
    </row>
    <row r="109" ht="15.75" customHeight="1">
      <c r="A109" s="5">
        <v>36.0</v>
      </c>
      <c r="B109" s="5" t="s">
        <v>14</v>
      </c>
      <c r="C109" s="31">
        <v>3.0</v>
      </c>
      <c r="D109" s="5">
        <v>56.7</v>
      </c>
      <c r="E109" s="5">
        <v>7.45</v>
      </c>
      <c r="F109" s="5">
        <v>40.06</v>
      </c>
      <c r="G109" s="5">
        <f t="shared" si="1"/>
        <v>40.74685387</v>
      </c>
      <c r="H109" s="5">
        <f t="shared" si="2"/>
        <v>10.53500432</v>
      </c>
    </row>
    <row r="110" ht="15.75" customHeight="1">
      <c r="A110" s="5">
        <v>37.0</v>
      </c>
      <c r="B110" s="5" t="s">
        <v>14</v>
      </c>
      <c r="C110" s="31">
        <v>1.0</v>
      </c>
      <c r="D110" s="5">
        <v>36.45</v>
      </c>
      <c r="E110" s="5">
        <v>20.78</v>
      </c>
      <c r="F110" s="5">
        <v>32.65</v>
      </c>
      <c r="G110" s="5">
        <f t="shared" si="1"/>
        <v>38.70182037</v>
      </c>
      <c r="H110" s="5">
        <f t="shared" si="2"/>
        <v>32.47459863</v>
      </c>
    </row>
    <row r="111" ht="15.75" customHeight="1">
      <c r="A111" s="5">
        <v>37.0</v>
      </c>
      <c r="B111" s="5" t="s">
        <v>14</v>
      </c>
      <c r="C111" s="31">
        <v>2.0</v>
      </c>
      <c r="D111" s="5">
        <v>50.67</v>
      </c>
      <c r="E111" s="5">
        <v>22.37</v>
      </c>
      <c r="F111" s="5">
        <v>47.83</v>
      </c>
      <c r="G111" s="5">
        <f t="shared" si="1"/>
        <v>52.80270637</v>
      </c>
      <c r="H111" s="5">
        <f t="shared" si="2"/>
        <v>25.06540255</v>
      </c>
    </row>
    <row r="112" ht="15.75" customHeight="1">
      <c r="A112" s="5">
        <v>37.0</v>
      </c>
      <c r="B112" s="5" t="s">
        <v>14</v>
      </c>
      <c r="C112" s="31">
        <v>3.0</v>
      </c>
      <c r="D112" s="5">
        <v>51.23</v>
      </c>
      <c r="E112" s="5">
        <v>-1.15</v>
      </c>
      <c r="F112" s="5">
        <v>36.9</v>
      </c>
      <c r="G112" s="5">
        <f t="shared" si="1"/>
        <v>36.9179157</v>
      </c>
      <c r="H112" s="5">
        <f t="shared" si="2"/>
        <v>-1.785063045</v>
      </c>
    </row>
    <row r="113" ht="15.75" customHeight="1">
      <c r="A113" s="5">
        <v>38.0</v>
      </c>
      <c r="B113" s="5" t="s">
        <v>14</v>
      </c>
      <c r="C113" s="31">
        <v>1.0</v>
      </c>
      <c r="D113" s="5">
        <v>42.16</v>
      </c>
      <c r="E113" s="5">
        <v>16.83</v>
      </c>
      <c r="F113" s="5">
        <v>43.06</v>
      </c>
      <c r="G113" s="5">
        <f t="shared" si="1"/>
        <v>46.23215872</v>
      </c>
      <c r="H113" s="5">
        <f t="shared" si="2"/>
        <v>21.34804216</v>
      </c>
    </row>
    <row r="114" ht="15.75" customHeight="1">
      <c r="A114" s="5">
        <v>38.0</v>
      </c>
      <c r="B114" s="5" t="s">
        <v>14</v>
      </c>
      <c r="C114" s="31">
        <v>2.0</v>
      </c>
      <c r="D114" s="5">
        <v>56.44</v>
      </c>
      <c r="E114" s="5">
        <v>3.45</v>
      </c>
      <c r="F114" s="5">
        <v>51.91</v>
      </c>
      <c r="G114" s="5">
        <f t="shared" si="1"/>
        <v>52.02451922</v>
      </c>
      <c r="H114" s="5">
        <f t="shared" si="2"/>
        <v>3.802353412</v>
      </c>
    </row>
    <row r="115" ht="15.75" customHeight="1">
      <c r="A115" s="5">
        <v>38.0</v>
      </c>
      <c r="B115" s="5" t="s">
        <v>14</v>
      </c>
      <c r="C115" s="31">
        <v>3.0</v>
      </c>
      <c r="D115" s="5">
        <v>55.3</v>
      </c>
      <c r="E115" s="5">
        <v>0.32</v>
      </c>
      <c r="F115" s="5">
        <v>37.91</v>
      </c>
      <c r="G115" s="5">
        <f t="shared" si="1"/>
        <v>37.91135054</v>
      </c>
      <c r="H115" s="5">
        <f t="shared" si="2"/>
        <v>0.483624743</v>
      </c>
    </row>
    <row r="116" ht="15.75" customHeight="1">
      <c r="A116" s="5">
        <v>39.0</v>
      </c>
      <c r="B116" s="5" t="s">
        <v>14</v>
      </c>
      <c r="C116" s="31">
        <v>1.0</v>
      </c>
      <c r="D116" s="5">
        <v>41.4</v>
      </c>
      <c r="E116" s="5">
        <v>14.66</v>
      </c>
      <c r="F116" s="5">
        <v>27.62</v>
      </c>
      <c r="G116" s="5">
        <f t="shared" si="1"/>
        <v>31.26947393</v>
      </c>
      <c r="H116" s="5">
        <f t="shared" si="2"/>
        <v>27.95823613</v>
      </c>
    </row>
    <row r="117" ht="15.75" customHeight="1">
      <c r="A117" s="5">
        <v>39.0</v>
      </c>
      <c r="B117" s="5" t="s">
        <v>14</v>
      </c>
      <c r="C117" s="31">
        <v>2.0</v>
      </c>
      <c r="D117" s="5">
        <v>38.24</v>
      </c>
      <c r="E117" s="5">
        <v>31.39</v>
      </c>
      <c r="F117" s="5">
        <v>32.2</v>
      </c>
      <c r="G117" s="5">
        <f t="shared" si="1"/>
        <v>44.96856791</v>
      </c>
      <c r="H117" s="5">
        <f t="shared" si="2"/>
        <v>44.27021432</v>
      </c>
    </row>
    <row r="118" ht="15.75" customHeight="1">
      <c r="A118" s="5">
        <v>39.0</v>
      </c>
      <c r="B118" s="5" t="s">
        <v>14</v>
      </c>
      <c r="C118" s="31">
        <v>3.0</v>
      </c>
      <c r="D118" s="5">
        <v>56.55</v>
      </c>
      <c r="E118" s="5">
        <v>5.22</v>
      </c>
      <c r="F118" s="5">
        <v>40.27</v>
      </c>
      <c r="G118" s="5">
        <f t="shared" si="1"/>
        <v>40.60691197</v>
      </c>
      <c r="H118" s="5">
        <f t="shared" si="2"/>
        <v>7.385784026</v>
      </c>
    </row>
    <row r="119" ht="15.75" customHeight="1">
      <c r="A119" s="5">
        <v>40.0</v>
      </c>
      <c r="B119" s="5" t="s">
        <v>14</v>
      </c>
      <c r="C119" s="31">
        <v>1.0</v>
      </c>
      <c r="D119" s="5">
        <v>50.15</v>
      </c>
      <c r="E119" s="5">
        <v>7.49</v>
      </c>
      <c r="F119" s="5">
        <v>36.78</v>
      </c>
      <c r="G119" s="5">
        <f t="shared" si="1"/>
        <v>37.5348971</v>
      </c>
      <c r="H119" s="5">
        <f t="shared" si="2"/>
        <v>11.5105073</v>
      </c>
    </row>
    <row r="120" ht="15.75" customHeight="1">
      <c r="A120" s="5">
        <v>40.0</v>
      </c>
      <c r="B120" s="5" t="s">
        <v>14</v>
      </c>
      <c r="C120" s="31">
        <v>2.0</v>
      </c>
      <c r="D120" s="5">
        <v>41.34</v>
      </c>
      <c r="E120" s="5">
        <v>37.22</v>
      </c>
      <c r="F120" s="5">
        <v>41.1</v>
      </c>
      <c r="G120" s="5">
        <f t="shared" si="1"/>
        <v>55.44852027</v>
      </c>
      <c r="H120" s="5">
        <f t="shared" si="2"/>
        <v>42.16386586</v>
      </c>
    </row>
    <row r="121" ht="15.75" customHeight="1">
      <c r="A121" s="5">
        <v>40.0</v>
      </c>
      <c r="B121" s="5" t="s">
        <v>14</v>
      </c>
      <c r="C121" s="31">
        <v>3.0</v>
      </c>
      <c r="D121" s="5">
        <v>45.9</v>
      </c>
      <c r="E121" s="5">
        <v>12.67</v>
      </c>
      <c r="F121" s="5">
        <v>43.91</v>
      </c>
      <c r="G121" s="5">
        <f t="shared" si="1"/>
        <v>45.70138948</v>
      </c>
      <c r="H121" s="5">
        <f t="shared" si="2"/>
        <v>16.09521771</v>
      </c>
    </row>
    <row r="122" ht="15.75" customHeight="1">
      <c r="A122" s="5">
        <v>41.0</v>
      </c>
      <c r="B122" s="5" t="s">
        <v>14</v>
      </c>
      <c r="C122" s="31">
        <v>1.0</v>
      </c>
      <c r="D122" s="5">
        <v>44.64</v>
      </c>
      <c r="E122" s="5">
        <v>27.84</v>
      </c>
      <c r="F122" s="5">
        <v>42.3</v>
      </c>
      <c r="G122" s="5">
        <f t="shared" si="1"/>
        <v>50.63946682</v>
      </c>
      <c r="H122" s="5">
        <f t="shared" si="2"/>
        <v>33.35115461</v>
      </c>
    </row>
    <row r="123" ht="15.75" customHeight="1">
      <c r="A123" s="5">
        <v>41.0</v>
      </c>
      <c r="B123" s="5" t="s">
        <v>14</v>
      </c>
      <c r="C123" s="31">
        <v>2.0</v>
      </c>
      <c r="D123" s="5">
        <v>48.93</v>
      </c>
      <c r="E123" s="5">
        <v>23.72</v>
      </c>
      <c r="F123" s="5">
        <v>44.17</v>
      </c>
      <c r="G123" s="5">
        <f t="shared" si="1"/>
        <v>50.1360878</v>
      </c>
      <c r="H123" s="5">
        <f t="shared" si="2"/>
        <v>28.23651331</v>
      </c>
    </row>
    <row r="124" ht="15.75" customHeight="1">
      <c r="A124" s="5">
        <v>41.0</v>
      </c>
      <c r="B124" s="5" t="s">
        <v>14</v>
      </c>
      <c r="C124" s="31">
        <v>3.0</v>
      </c>
      <c r="D124" s="5">
        <v>50.36</v>
      </c>
      <c r="E124" s="5">
        <v>14.84</v>
      </c>
      <c r="F124" s="5">
        <v>33.93</v>
      </c>
      <c r="G124" s="5">
        <f t="shared" si="1"/>
        <v>37.03337009</v>
      </c>
      <c r="H124" s="5">
        <f t="shared" si="2"/>
        <v>23.62317651</v>
      </c>
    </row>
    <row r="125" ht="15.75" customHeight="1">
      <c r="A125" s="5">
        <v>42.0</v>
      </c>
      <c r="B125" s="5" t="s">
        <v>14</v>
      </c>
      <c r="C125" s="31">
        <v>1.0</v>
      </c>
      <c r="D125" s="5">
        <v>35.73</v>
      </c>
      <c r="E125" s="5">
        <v>27.14</v>
      </c>
      <c r="F125" s="5">
        <v>33.84</v>
      </c>
      <c r="G125" s="5">
        <f t="shared" si="1"/>
        <v>43.3788566</v>
      </c>
      <c r="H125" s="5">
        <f t="shared" si="2"/>
        <v>38.72994274</v>
      </c>
    </row>
    <row r="126" ht="15.75" customHeight="1">
      <c r="A126" s="5">
        <v>42.0</v>
      </c>
      <c r="B126" s="5" t="s">
        <v>14</v>
      </c>
      <c r="C126" s="31">
        <v>2.0</v>
      </c>
      <c r="D126" s="5">
        <v>57.11</v>
      </c>
      <c r="E126" s="5">
        <v>9.63</v>
      </c>
      <c r="F126" s="5">
        <v>55.82</v>
      </c>
      <c r="G126" s="5">
        <f t="shared" si="1"/>
        <v>56.64458756</v>
      </c>
      <c r="H126" s="5">
        <f t="shared" si="2"/>
        <v>9.788250278</v>
      </c>
    </row>
    <row r="127" ht="15.75" customHeight="1">
      <c r="A127" s="5">
        <v>42.0</v>
      </c>
      <c r="B127" s="5" t="s">
        <v>14</v>
      </c>
      <c r="C127" s="31">
        <v>3.0</v>
      </c>
      <c r="D127" s="5">
        <v>53.07</v>
      </c>
      <c r="E127" s="5">
        <v>11.76</v>
      </c>
      <c r="F127" s="5">
        <v>42.05</v>
      </c>
      <c r="G127" s="5">
        <f t="shared" si="1"/>
        <v>43.66348703</v>
      </c>
      <c r="H127" s="5">
        <f t="shared" si="2"/>
        <v>15.62455587</v>
      </c>
    </row>
    <row r="128" ht="15.75" customHeight="1">
      <c r="A128" s="5">
        <v>43.0</v>
      </c>
      <c r="B128" s="5" t="s">
        <v>14</v>
      </c>
      <c r="C128" s="31">
        <v>1.0</v>
      </c>
      <c r="D128" s="5">
        <v>58.7</v>
      </c>
      <c r="E128" s="5">
        <v>2.89</v>
      </c>
      <c r="F128" s="5">
        <v>45.46</v>
      </c>
      <c r="G128" s="5">
        <f t="shared" si="1"/>
        <v>45.55176945</v>
      </c>
      <c r="H128" s="5">
        <f t="shared" si="2"/>
        <v>3.637533541</v>
      </c>
    </row>
    <row r="129" ht="15.75" customHeight="1">
      <c r="A129" s="5">
        <v>43.0</v>
      </c>
      <c r="B129" s="5" t="s">
        <v>14</v>
      </c>
      <c r="C129" s="31">
        <v>2.0</v>
      </c>
      <c r="D129" s="5">
        <v>50.52</v>
      </c>
      <c r="E129" s="5">
        <v>28.0</v>
      </c>
      <c r="F129" s="5">
        <v>48.07</v>
      </c>
      <c r="G129" s="5">
        <f t="shared" si="1"/>
        <v>55.63025166</v>
      </c>
      <c r="H129" s="5">
        <f t="shared" si="2"/>
        <v>30.2201102</v>
      </c>
    </row>
    <row r="130" ht="15.75" customHeight="1">
      <c r="A130" s="5">
        <v>43.0</v>
      </c>
      <c r="B130" s="5" t="s">
        <v>14</v>
      </c>
      <c r="C130" s="31">
        <v>3.0</v>
      </c>
      <c r="D130" s="5">
        <v>55.74</v>
      </c>
      <c r="E130" s="5">
        <v>10.51</v>
      </c>
      <c r="F130" s="5">
        <v>47.86</v>
      </c>
      <c r="G130" s="5">
        <f t="shared" si="1"/>
        <v>49.0004051</v>
      </c>
      <c r="H130" s="5">
        <f t="shared" si="2"/>
        <v>12.38549246</v>
      </c>
    </row>
    <row r="131" ht="15.75" customHeight="1">
      <c r="A131" s="5">
        <v>44.0</v>
      </c>
      <c r="B131" s="5" t="s">
        <v>14</v>
      </c>
      <c r="C131" s="31">
        <v>1.0</v>
      </c>
      <c r="D131" s="5">
        <v>49.52</v>
      </c>
      <c r="E131" s="5">
        <v>15.03</v>
      </c>
      <c r="F131" s="5">
        <v>48.78</v>
      </c>
      <c r="G131" s="5">
        <f t="shared" si="1"/>
        <v>51.04301421</v>
      </c>
      <c r="H131" s="5">
        <f t="shared" si="2"/>
        <v>17.12501149</v>
      </c>
    </row>
    <row r="132" ht="15.75" customHeight="1">
      <c r="A132" s="5">
        <v>44.0</v>
      </c>
      <c r="B132" s="5" t="s">
        <v>14</v>
      </c>
      <c r="C132" s="31">
        <v>2.0</v>
      </c>
      <c r="D132" s="5">
        <v>48.97</v>
      </c>
      <c r="E132" s="5">
        <v>24.77</v>
      </c>
      <c r="F132" s="5">
        <v>49.1</v>
      </c>
      <c r="G132" s="5">
        <f t="shared" si="1"/>
        <v>54.99420788</v>
      </c>
      <c r="H132" s="5">
        <f t="shared" si="2"/>
        <v>26.77006082</v>
      </c>
    </row>
    <row r="133" ht="15.75" customHeight="1">
      <c r="A133" s="5">
        <v>44.0</v>
      </c>
      <c r="B133" s="5" t="s">
        <v>14</v>
      </c>
      <c r="C133" s="31">
        <v>3.0</v>
      </c>
      <c r="D133" s="5">
        <v>57.45</v>
      </c>
      <c r="E133" s="5">
        <v>4.91</v>
      </c>
      <c r="F133" s="5">
        <v>40.72</v>
      </c>
      <c r="G133" s="5">
        <f t="shared" si="1"/>
        <v>41.01495459</v>
      </c>
      <c r="H133" s="5">
        <f t="shared" si="2"/>
        <v>6.875506563</v>
      </c>
    </row>
    <row r="134" ht="15.75" customHeight="1">
      <c r="A134" s="5">
        <v>45.0</v>
      </c>
      <c r="B134" s="5" t="s">
        <v>15</v>
      </c>
      <c r="C134" s="31">
        <v>1.0</v>
      </c>
      <c r="D134" s="5">
        <v>35.95</v>
      </c>
      <c r="E134" s="5">
        <v>28.47</v>
      </c>
      <c r="F134" s="5">
        <v>31.07</v>
      </c>
      <c r="G134" s="5">
        <f t="shared" si="1"/>
        <v>42.14126007</v>
      </c>
      <c r="H134" s="5">
        <f t="shared" si="2"/>
        <v>42.49958944</v>
      </c>
    </row>
    <row r="135" ht="15.75" customHeight="1">
      <c r="A135" s="5">
        <v>45.0</v>
      </c>
      <c r="B135" s="5" t="s">
        <v>15</v>
      </c>
      <c r="C135" s="31">
        <v>2.0</v>
      </c>
      <c r="D135" s="5">
        <v>43.23</v>
      </c>
      <c r="E135" s="5">
        <v>33.04</v>
      </c>
      <c r="F135" s="5">
        <v>37.41</v>
      </c>
      <c r="G135" s="5">
        <f t="shared" si="1"/>
        <v>49.91141853</v>
      </c>
      <c r="H135" s="5">
        <f t="shared" si="2"/>
        <v>41.45050158</v>
      </c>
    </row>
    <row r="136" ht="15.75" customHeight="1">
      <c r="A136" s="5">
        <v>45.0</v>
      </c>
      <c r="B136" s="5" t="s">
        <v>15</v>
      </c>
      <c r="C136" s="31">
        <v>3.0</v>
      </c>
      <c r="D136" s="5">
        <v>44.6</v>
      </c>
      <c r="E136" s="5">
        <v>13.76</v>
      </c>
      <c r="F136" s="5">
        <v>29.33</v>
      </c>
      <c r="G136" s="5">
        <f t="shared" si="1"/>
        <v>32.39732242</v>
      </c>
      <c r="H136" s="5">
        <f t="shared" si="2"/>
        <v>25.13335033</v>
      </c>
    </row>
    <row r="137" ht="15.75" customHeight="1">
      <c r="A137" s="5">
        <v>46.0</v>
      </c>
      <c r="B137" s="5" t="s">
        <v>15</v>
      </c>
      <c r="C137" s="31">
        <v>1.0</v>
      </c>
      <c r="D137" s="5">
        <v>34.1</v>
      </c>
      <c r="E137" s="5">
        <v>26.74</v>
      </c>
      <c r="F137" s="5">
        <v>28.29</v>
      </c>
      <c r="G137" s="5">
        <f t="shared" si="1"/>
        <v>38.92751854</v>
      </c>
      <c r="H137" s="5">
        <f t="shared" si="2"/>
        <v>43.3866076</v>
      </c>
    </row>
    <row r="138" ht="15.75" customHeight="1">
      <c r="A138" s="5">
        <v>46.0</v>
      </c>
      <c r="B138" s="5" t="s">
        <v>15</v>
      </c>
      <c r="C138" s="31">
        <v>2.0</v>
      </c>
      <c r="D138" s="5">
        <v>39.3</v>
      </c>
      <c r="E138" s="5">
        <v>26.76</v>
      </c>
      <c r="F138" s="5">
        <v>28.84</v>
      </c>
      <c r="G138" s="5">
        <f t="shared" si="1"/>
        <v>39.34263845</v>
      </c>
      <c r="H138" s="5">
        <f t="shared" si="2"/>
        <v>42.85755985</v>
      </c>
    </row>
    <row r="139" ht="15.75" customHeight="1">
      <c r="A139" s="5">
        <v>46.0</v>
      </c>
      <c r="B139" s="5" t="s">
        <v>15</v>
      </c>
      <c r="C139" s="31">
        <v>3.0</v>
      </c>
      <c r="D139" s="5">
        <v>40.82</v>
      </c>
      <c r="E139" s="5">
        <v>18.03</v>
      </c>
      <c r="F139" s="5">
        <v>27.59</v>
      </c>
      <c r="G139" s="5">
        <f t="shared" si="1"/>
        <v>32.95889865</v>
      </c>
      <c r="H139" s="5">
        <f t="shared" si="2"/>
        <v>33.16452138</v>
      </c>
    </row>
    <row r="140" ht="15.75" customHeight="1">
      <c r="A140" s="5">
        <v>47.0</v>
      </c>
      <c r="B140" s="5" t="s">
        <v>15</v>
      </c>
      <c r="C140" s="31">
        <v>1.0</v>
      </c>
      <c r="D140" s="5">
        <v>35.85</v>
      </c>
      <c r="E140" s="5">
        <v>25.58</v>
      </c>
      <c r="F140" s="5">
        <v>24.03</v>
      </c>
      <c r="G140" s="5">
        <f t="shared" si="1"/>
        <v>35.09668503</v>
      </c>
      <c r="H140" s="5">
        <f t="shared" si="2"/>
        <v>46.78955005</v>
      </c>
    </row>
    <row r="141" ht="15.75" customHeight="1">
      <c r="A141" s="5">
        <v>47.0</v>
      </c>
      <c r="B141" s="5" t="s">
        <v>15</v>
      </c>
      <c r="C141" s="31">
        <v>2.0</v>
      </c>
      <c r="D141" s="5">
        <v>38.48</v>
      </c>
      <c r="E141" s="5">
        <v>29.11</v>
      </c>
      <c r="F141" s="5">
        <v>26.85</v>
      </c>
      <c r="G141" s="5">
        <f t="shared" si="1"/>
        <v>39.60195197</v>
      </c>
      <c r="H141" s="5">
        <f t="shared" si="2"/>
        <v>47.31268997</v>
      </c>
    </row>
    <row r="142" ht="15.75" customHeight="1">
      <c r="A142" s="5">
        <v>47.0</v>
      </c>
      <c r="B142" s="5" t="s">
        <v>15</v>
      </c>
      <c r="C142" s="31">
        <v>3.0</v>
      </c>
      <c r="D142" s="5">
        <v>42.8</v>
      </c>
      <c r="E142" s="5">
        <v>21.84</v>
      </c>
      <c r="F142" s="5">
        <v>33.2</v>
      </c>
      <c r="G142" s="5">
        <f t="shared" si="1"/>
        <v>39.73947156</v>
      </c>
      <c r="H142" s="5">
        <f t="shared" si="2"/>
        <v>33.33817157</v>
      </c>
    </row>
    <row r="143" ht="15.75" customHeight="1">
      <c r="A143" s="5">
        <v>48.0</v>
      </c>
      <c r="B143" s="5" t="s">
        <v>15</v>
      </c>
      <c r="C143" s="31">
        <v>1.0</v>
      </c>
      <c r="D143" s="5">
        <v>32.73</v>
      </c>
      <c r="E143" s="5">
        <v>29.11</v>
      </c>
      <c r="F143" s="5">
        <v>26.63</v>
      </c>
      <c r="G143" s="5">
        <f t="shared" si="1"/>
        <v>39.45312408</v>
      </c>
      <c r="H143" s="5">
        <f t="shared" si="2"/>
        <v>47.54754007</v>
      </c>
    </row>
    <row r="144" ht="15.75" customHeight="1">
      <c r="A144" s="5">
        <v>48.0</v>
      </c>
      <c r="B144" s="5" t="s">
        <v>15</v>
      </c>
      <c r="C144" s="31">
        <v>2.0</v>
      </c>
      <c r="D144" s="5">
        <v>36.6</v>
      </c>
      <c r="E144" s="5">
        <v>29.27</v>
      </c>
      <c r="F144" s="5">
        <v>27.09</v>
      </c>
      <c r="G144" s="5">
        <f t="shared" si="1"/>
        <v>39.88233945</v>
      </c>
      <c r="H144" s="5">
        <f t="shared" si="2"/>
        <v>47.21509162</v>
      </c>
    </row>
    <row r="145" ht="15.75" customHeight="1">
      <c r="A145" s="5">
        <v>48.0</v>
      </c>
      <c r="B145" s="5" t="s">
        <v>15</v>
      </c>
      <c r="C145" s="31">
        <v>3.0</v>
      </c>
      <c r="D145" s="5">
        <v>42.63</v>
      </c>
      <c r="E145" s="5">
        <v>19.87</v>
      </c>
      <c r="F145" s="5">
        <v>30.7</v>
      </c>
      <c r="G145" s="5">
        <f t="shared" si="1"/>
        <v>36.56920699</v>
      </c>
      <c r="H145" s="5">
        <f t="shared" si="2"/>
        <v>32.91220691</v>
      </c>
    </row>
    <row r="146" ht="15.75" customHeight="1">
      <c r="A146" s="5">
        <v>49.0</v>
      </c>
      <c r="B146" s="5" t="s">
        <v>15</v>
      </c>
      <c r="C146" s="31">
        <v>1.0</v>
      </c>
      <c r="D146" s="5">
        <v>32.22</v>
      </c>
      <c r="E146" s="5">
        <v>29.6</v>
      </c>
      <c r="F146" s="5">
        <v>25.91</v>
      </c>
      <c r="G146" s="5">
        <f t="shared" si="1"/>
        <v>39.33812527</v>
      </c>
      <c r="H146" s="5">
        <f t="shared" si="2"/>
        <v>48.80311359</v>
      </c>
    </row>
    <row r="147" ht="15.75" customHeight="1">
      <c r="A147" s="5">
        <v>49.0</v>
      </c>
      <c r="B147" s="5" t="s">
        <v>15</v>
      </c>
      <c r="C147" s="31">
        <v>2.0</v>
      </c>
      <c r="D147" s="5">
        <v>38.73</v>
      </c>
      <c r="E147" s="5">
        <v>32.94</v>
      </c>
      <c r="F147" s="5">
        <v>27.32</v>
      </c>
      <c r="G147" s="5">
        <f t="shared" si="1"/>
        <v>42.79516328</v>
      </c>
      <c r="H147" s="5">
        <f t="shared" si="2"/>
        <v>50.3281371</v>
      </c>
    </row>
    <row r="148" ht="15.75" customHeight="1">
      <c r="A148" s="5">
        <v>49.0</v>
      </c>
      <c r="B148" s="5" t="s">
        <v>15</v>
      </c>
      <c r="C148" s="31">
        <v>3.0</v>
      </c>
      <c r="D148" s="5">
        <v>43.19</v>
      </c>
      <c r="E148" s="5">
        <v>16.71</v>
      </c>
      <c r="F148" s="5">
        <v>33.18</v>
      </c>
      <c r="G148" s="5">
        <f t="shared" si="1"/>
        <v>37.15018842</v>
      </c>
      <c r="H148" s="5">
        <f t="shared" si="2"/>
        <v>26.73058565</v>
      </c>
    </row>
    <row r="149" ht="15.75" customHeight="1">
      <c r="A149" s="5">
        <v>50.0</v>
      </c>
      <c r="B149" s="5" t="s">
        <v>15</v>
      </c>
      <c r="C149" s="31">
        <v>1.0</v>
      </c>
      <c r="D149" s="5">
        <v>34.23</v>
      </c>
      <c r="E149" s="5">
        <v>29.29</v>
      </c>
      <c r="F149" s="5">
        <v>26.74</v>
      </c>
      <c r="G149" s="5">
        <f t="shared" si="1"/>
        <v>39.66020297</v>
      </c>
      <c r="H149" s="5">
        <f t="shared" si="2"/>
        <v>47.60580918</v>
      </c>
    </row>
    <row r="150" ht="15.75" customHeight="1">
      <c r="A150" s="5">
        <v>50.0</v>
      </c>
      <c r="B150" s="5" t="s">
        <v>15</v>
      </c>
      <c r="C150" s="31">
        <v>2.0</v>
      </c>
      <c r="D150" s="5">
        <v>36.27</v>
      </c>
      <c r="E150" s="5">
        <v>29.68</v>
      </c>
      <c r="F150" s="5">
        <v>24.03</v>
      </c>
      <c r="G150" s="5">
        <f t="shared" si="1"/>
        <v>38.18826129</v>
      </c>
      <c r="H150" s="5">
        <f t="shared" si="2"/>
        <v>51.00511882</v>
      </c>
    </row>
    <row r="151" ht="15.75" customHeight="1">
      <c r="A151" s="5">
        <v>50.0</v>
      </c>
      <c r="B151" s="5" t="s">
        <v>15</v>
      </c>
      <c r="C151" s="31">
        <v>3.0</v>
      </c>
      <c r="D151" s="5">
        <v>38.77</v>
      </c>
      <c r="E151" s="5">
        <v>22.83</v>
      </c>
      <c r="F151" s="5">
        <v>26.44</v>
      </c>
      <c r="G151" s="5">
        <f t="shared" si="1"/>
        <v>34.93254213</v>
      </c>
      <c r="H151" s="5">
        <f t="shared" si="2"/>
        <v>40.80944147</v>
      </c>
    </row>
    <row r="152" ht="15.75" customHeight="1">
      <c r="A152" s="5">
        <v>51.0</v>
      </c>
      <c r="B152" s="5" t="s">
        <v>15</v>
      </c>
      <c r="C152" s="31">
        <v>1.0</v>
      </c>
      <c r="D152" s="5">
        <v>30.27</v>
      </c>
      <c r="E152" s="5">
        <v>28.56</v>
      </c>
      <c r="F152" s="5">
        <v>30.14</v>
      </c>
      <c r="G152" s="5">
        <f t="shared" si="1"/>
        <v>41.52220129</v>
      </c>
      <c r="H152" s="5">
        <f t="shared" si="2"/>
        <v>43.45816902</v>
      </c>
    </row>
    <row r="153" ht="15.75" customHeight="1">
      <c r="A153" s="5">
        <v>51.0</v>
      </c>
      <c r="B153" s="5" t="s">
        <v>15</v>
      </c>
      <c r="C153" s="31">
        <v>2.0</v>
      </c>
      <c r="D153" s="5">
        <v>36.89</v>
      </c>
      <c r="E153" s="5">
        <v>26.08</v>
      </c>
      <c r="F153" s="5">
        <v>24.62</v>
      </c>
      <c r="G153" s="5">
        <f t="shared" si="1"/>
        <v>35.86517531</v>
      </c>
      <c r="H153" s="5">
        <f t="shared" si="2"/>
        <v>46.64948179</v>
      </c>
    </row>
    <row r="154" ht="15.75" customHeight="1">
      <c r="A154" s="5">
        <v>51.0</v>
      </c>
      <c r="B154" s="5" t="s">
        <v>15</v>
      </c>
      <c r="C154" s="31">
        <v>3.0</v>
      </c>
      <c r="D154" s="5">
        <v>40.25</v>
      </c>
      <c r="E154" s="5">
        <v>18.93</v>
      </c>
      <c r="F154" s="5">
        <v>28.2</v>
      </c>
      <c r="G154" s="5">
        <f t="shared" si="1"/>
        <v>33.96446525</v>
      </c>
      <c r="H154" s="5">
        <f t="shared" si="2"/>
        <v>33.87253754</v>
      </c>
    </row>
    <row r="155" ht="15.75" customHeight="1">
      <c r="A155" s="5">
        <v>52.0</v>
      </c>
      <c r="B155" s="5" t="s">
        <v>15</v>
      </c>
      <c r="C155" s="31">
        <v>1.0</v>
      </c>
      <c r="D155" s="5">
        <v>36.76</v>
      </c>
      <c r="E155" s="5">
        <v>26.79</v>
      </c>
      <c r="F155" s="5">
        <v>29.9</v>
      </c>
      <c r="G155" s="5">
        <f t="shared" si="1"/>
        <v>40.14615922</v>
      </c>
      <c r="H155" s="5">
        <f t="shared" si="2"/>
        <v>41.85991468</v>
      </c>
    </row>
    <row r="156" ht="15.75" customHeight="1">
      <c r="A156" s="5">
        <v>52.0</v>
      </c>
      <c r="B156" s="5" t="s">
        <v>15</v>
      </c>
      <c r="C156" s="31">
        <v>2.0</v>
      </c>
      <c r="D156" s="5">
        <v>39.62</v>
      </c>
      <c r="E156" s="5">
        <v>29.54</v>
      </c>
      <c r="F156" s="5">
        <v>30.33</v>
      </c>
      <c r="G156" s="5">
        <f t="shared" si="1"/>
        <v>42.33816836</v>
      </c>
      <c r="H156" s="5">
        <f t="shared" si="2"/>
        <v>44.24401137</v>
      </c>
    </row>
    <row r="157" ht="15.75" customHeight="1">
      <c r="A157" s="5">
        <v>52.0</v>
      </c>
      <c r="B157" s="5" t="s">
        <v>15</v>
      </c>
      <c r="C157" s="31">
        <v>3.0</v>
      </c>
      <c r="D157" s="5">
        <v>42.95</v>
      </c>
      <c r="E157" s="5">
        <v>21.91</v>
      </c>
      <c r="F157" s="5">
        <v>33.46</v>
      </c>
      <c r="G157" s="5">
        <f t="shared" si="1"/>
        <v>39.99524597</v>
      </c>
      <c r="H157" s="5">
        <f t="shared" si="2"/>
        <v>33.21724901</v>
      </c>
    </row>
    <row r="158" ht="15.75" customHeight="1">
      <c r="A158" s="5">
        <v>53.0</v>
      </c>
      <c r="B158" s="5" t="s">
        <v>15</v>
      </c>
      <c r="C158" s="31">
        <v>1.0</v>
      </c>
      <c r="D158" s="5">
        <v>30.28</v>
      </c>
      <c r="E158" s="5">
        <v>27.86</v>
      </c>
      <c r="F158" s="5">
        <v>26.8</v>
      </c>
      <c r="G158" s="5">
        <f t="shared" si="1"/>
        <v>38.65772368</v>
      </c>
      <c r="H158" s="5">
        <f t="shared" si="2"/>
        <v>46.11097539</v>
      </c>
    </row>
    <row r="159" ht="15.75" customHeight="1">
      <c r="A159" s="5">
        <v>53.0</v>
      </c>
      <c r="B159" s="5" t="s">
        <v>15</v>
      </c>
      <c r="C159" s="31">
        <v>2.0</v>
      </c>
      <c r="D159" s="5">
        <v>37.69</v>
      </c>
      <c r="E159" s="5">
        <v>30.32</v>
      </c>
      <c r="F159" s="5">
        <v>26.06</v>
      </c>
      <c r="G159" s="5">
        <f t="shared" si="1"/>
        <v>39.98032016</v>
      </c>
      <c r="H159" s="5">
        <f t="shared" si="2"/>
        <v>49.32098459</v>
      </c>
    </row>
    <row r="160" ht="15.75" customHeight="1">
      <c r="A160" s="5">
        <v>53.0</v>
      </c>
      <c r="B160" s="5" t="s">
        <v>15</v>
      </c>
      <c r="C160" s="31">
        <v>3.0</v>
      </c>
      <c r="D160" s="5">
        <v>42.13</v>
      </c>
      <c r="E160" s="5">
        <v>15.74</v>
      </c>
      <c r="F160" s="5">
        <v>31.68</v>
      </c>
      <c r="G160" s="5">
        <f t="shared" si="1"/>
        <v>35.37470848</v>
      </c>
      <c r="H160" s="5">
        <f t="shared" si="2"/>
        <v>26.42018226</v>
      </c>
    </row>
    <row r="161" ht="15.75" customHeight="1">
      <c r="A161" s="5">
        <v>54.0</v>
      </c>
      <c r="B161" s="5" t="s">
        <v>15</v>
      </c>
      <c r="C161" s="31">
        <v>1.0</v>
      </c>
      <c r="D161" s="5">
        <v>31.16</v>
      </c>
      <c r="E161" s="5">
        <v>30.97</v>
      </c>
      <c r="F161" s="5">
        <v>28.34</v>
      </c>
      <c r="G161" s="5">
        <f t="shared" si="1"/>
        <v>41.97971534</v>
      </c>
      <c r="H161" s="5">
        <f t="shared" si="2"/>
        <v>47.53901955</v>
      </c>
    </row>
    <row r="162" ht="15.75" customHeight="1">
      <c r="A162" s="5">
        <v>54.0</v>
      </c>
      <c r="B162" s="5" t="s">
        <v>15</v>
      </c>
      <c r="C162" s="31">
        <v>2.0</v>
      </c>
      <c r="D162" s="5">
        <v>39.52</v>
      </c>
      <c r="E162" s="5">
        <v>26.02</v>
      </c>
      <c r="F162" s="5">
        <v>34.62</v>
      </c>
      <c r="G162" s="5">
        <f t="shared" si="1"/>
        <v>43.30802235</v>
      </c>
      <c r="H162" s="5">
        <f t="shared" si="2"/>
        <v>36.92810891</v>
      </c>
    </row>
    <row r="163" ht="15.75" customHeight="1">
      <c r="A163" s="5">
        <v>54.0</v>
      </c>
      <c r="B163" s="5" t="s">
        <v>15</v>
      </c>
      <c r="C163" s="31">
        <v>3.0</v>
      </c>
      <c r="D163" s="5">
        <v>40.88</v>
      </c>
      <c r="E163" s="5">
        <v>26.23</v>
      </c>
      <c r="F163" s="5">
        <v>34.61</v>
      </c>
      <c r="G163" s="5">
        <f t="shared" si="1"/>
        <v>43.42654718</v>
      </c>
      <c r="H163" s="5">
        <f t="shared" si="2"/>
        <v>37.157522</v>
      </c>
    </row>
    <row r="164" ht="15.75" customHeight="1">
      <c r="A164" s="5">
        <v>55.0</v>
      </c>
      <c r="B164" s="5" t="s">
        <v>15</v>
      </c>
      <c r="C164" s="31">
        <v>1.0</v>
      </c>
      <c r="D164" s="5">
        <v>32.94</v>
      </c>
      <c r="E164" s="5">
        <v>27.95</v>
      </c>
      <c r="F164" s="5">
        <v>23.94</v>
      </c>
      <c r="G164" s="5">
        <f t="shared" si="1"/>
        <v>36.80116982</v>
      </c>
      <c r="H164" s="5">
        <f t="shared" si="2"/>
        <v>49.41896971</v>
      </c>
    </row>
    <row r="165" ht="15.75" customHeight="1">
      <c r="A165" s="5">
        <v>55.0</v>
      </c>
      <c r="B165" s="5" t="s">
        <v>15</v>
      </c>
      <c r="C165" s="31">
        <v>2.0</v>
      </c>
      <c r="D165" s="5">
        <v>35.41</v>
      </c>
      <c r="E165" s="5">
        <v>30.0</v>
      </c>
      <c r="F165" s="5">
        <v>24.76</v>
      </c>
      <c r="G165" s="5">
        <f t="shared" si="1"/>
        <v>38.89804108</v>
      </c>
      <c r="H165" s="5">
        <f t="shared" si="2"/>
        <v>50.46600661</v>
      </c>
    </row>
    <row r="166" ht="15.75" customHeight="1">
      <c r="A166" s="5">
        <v>55.0</v>
      </c>
      <c r="B166" s="5" t="s">
        <v>15</v>
      </c>
      <c r="C166" s="31">
        <v>3.0</v>
      </c>
      <c r="D166" s="5">
        <v>41.32</v>
      </c>
      <c r="E166" s="5">
        <v>23.87</v>
      </c>
      <c r="F166" s="5">
        <v>30.75</v>
      </c>
      <c r="G166" s="5">
        <f t="shared" si="1"/>
        <v>38.92736056</v>
      </c>
      <c r="H166" s="5">
        <f t="shared" si="2"/>
        <v>37.82076542</v>
      </c>
    </row>
    <row r="167" ht="15.75" customHeight="1">
      <c r="A167" s="5">
        <v>56.0</v>
      </c>
      <c r="B167" s="5" t="s">
        <v>15</v>
      </c>
      <c r="C167" s="31">
        <v>1.0</v>
      </c>
      <c r="D167" s="5">
        <v>34.9</v>
      </c>
      <c r="E167" s="5">
        <v>29.57</v>
      </c>
      <c r="F167" s="5">
        <v>29.92</v>
      </c>
      <c r="G167" s="5">
        <f t="shared" si="1"/>
        <v>42.06651043</v>
      </c>
      <c r="H167" s="5">
        <f t="shared" si="2"/>
        <v>44.66291324</v>
      </c>
    </row>
    <row r="168" ht="15.75" customHeight="1">
      <c r="A168" s="5">
        <v>56.0</v>
      </c>
      <c r="B168" s="5" t="s">
        <v>15</v>
      </c>
      <c r="C168" s="31">
        <v>2.0</v>
      </c>
      <c r="D168" s="5">
        <v>37.41</v>
      </c>
      <c r="E168" s="5">
        <v>32.72</v>
      </c>
      <c r="F168" s="5">
        <v>31.99</v>
      </c>
      <c r="G168" s="5">
        <f t="shared" si="1"/>
        <v>45.7597913</v>
      </c>
      <c r="H168" s="5">
        <f t="shared" si="2"/>
        <v>45.64633202</v>
      </c>
    </row>
    <row r="169" ht="15.75" customHeight="1">
      <c r="A169" s="5">
        <v>56.0</v>
      </c>
      <c r="B169" s="5" t="s">
        <v>15</v>
      </c>
      <c r="C169" s="31">
        <v>3.0</v>
      </c>
      <c r="D169" s="5">
        <v>41.3</v>
      </c>
      <c r="E169" s="5">
        <v>19.62</v>
      </c>
      <c r="F169" s="5">
        <v>29.74</v>
      </c>
      <c r="G169" s="5">
        <f t="shared" si="1"/>
        <v>35.62880857</v>
      </c>
      <c r="H169" s="5">
        <f t="shared" si="2"/>
        <v>33.41353703</v>
      </c>
    </row>
    <row r="170" ht="15.75" customHeight="1">
      <c r="A170" s="5">
        <v>57.0</v>
      </c>
      <c r="B170" s="5" t="s">
        <v>15</v>
      </c>
      <c r="C170" s="31">
        <v>1.0</v>
      </c>
      <c r="D170" s="5">
        <v>34.66</v>
      </c>
      <c r="E170" s="5">
        <v>29.22</v>
      </c>
      <c r="F170" s="5">
        <v>24.95</v>
      </c>
      <c r="G170" s="5">
        <f t="shared" si="1"/>
        <v>38.42279141</v>
      </c>
      <c r="H170" s="5">
        <f t="shared" si="2"/>
        <v>49.50707292</v>
      </c>
    </row>
    <row r="171" ht="15.75" customHeight="1">
      <c r="A171" s="5">
        <v>57.0</v>
      </c>
      <c r="B171" s="5" t="s">
        <v>15</v>
      </c>
      <c r="C171" s="31">
        <v>2.0</v>
      </c>
      <c r="D171" s="5">
        <v>37.44</v>
      </c>
      <c r="E171" s="5">
        <v>32.25</v>
      </c>
      <c r="F171" s="5">
        <v>27.76</v>
      </c>
      <c r="G171" s="5">
        <f t="shared" si="1"/>
        <v>42.55208691</v>
      </c>
      <c r="H171" s="5">
        <f t="shared" si="2"/>
        <v>49.27894682</v>
      </c>
    </row>
    <row r="172" ht="15.75" customHeight="1">
      <c r="A172" s="5">
        <v>57.0</v>
      </c>
      <c r="B172" s="5" t="s">
        <v>15</v>
      </c>
      <c r="C172" s="31">
        <v>3.0</v>
      </c>
      <c r="D172" s="5">
        <v>46.68</v>
      </c>
      <c r="E172" s="5">
        <v>16.82</v>
      </c>
      <c r="F172" s="5">
        <v>37.17</v>
      </c>
      <c r="G172" s="5">
        <f t="shared" si="1"/>
        <v>40.79854532</v>
      </c>
      <c r="H172" s="5">
        <f t="shared" si="2"/>
        <v>24.34748755</v>
      </c>
    </row>
    <row r="173" ht="15.75" customHeight="1">
      <c r="A173" s="5">
        <v>58.0</v>
      </c>
      <c r="B173" s="5" t="s">
        <v>15</v>
      </c>
      <c r="C173" s="31">
        <v>1.0</v>
      </c>
      <c r="D173" s="5">
        <v>34.74</v>
      </c>
      <c r="E173" s="5">
        <v>37.96</v>
      </c>
      <c r="F173" s="5">
        <v>30.18</v>
      </c>
      <c r="G173" s="5">
        <f t="shared" si="1"/>
        <v>48.49529874</v>
      </c>
      <c r="H173" s="5">
        <f t="shared" si="2"/>
        <v>51.51363587</v>
      </c>
    </row>
    <row r="174" ht="15.75" customHeight="1">
      <c r="A174" s="5">
        <v>58.0</v>
      </c>
      <c r="B174" s="5" t="s">
        <v>15</v>
      </c>
      <c r="C174" s="31">
        <v>2.0</v>
      </c>
      <c r="D174" s="5">
        <v>40.17</v>
      </c>
      <c r="E174" s="5">
        <v>32.42</v>
      </c>
      <c r="F174" s="5">
        <v>30.71</v>
      </c>
      <c r="G174" s="5">
        <f t="shared" si="1"/>
        <v>44.65602423</v>
      </c>
      <c r="H174" s="5">
        <f t="shared" si="2"/>
        <v>46.55158929</v>
      </c>
    </row>
    <row r="175" ht="15.75" customHeight="1">
      <c r="A175" s="5">
        <v>58.0</v>
      </c>
      <c r="B175" s="5" t="s">
        <v>15</v>
      </c>
      <c r="C175" s="31">
        <v>3.0</v>
      </c>
      <c r="D175" s="5">
        <v>48.27</v>
      </c>
      <c r="E175" s="5">
        <v>12.18</v>
      </c>
      <c r="F175" s="5">
        <v>38.68</v>
      </c>
      <c r="G175" s="5">
        <f t="shared" si="1"/>
        <v>40.55237108</v>
      </c>
      <c r="H175" s="5">
        <f t="shared" si="2"/>
        <v>17.47876738</v>
      </c>
    </row>
    <row r="176" ht="15.75" customHeight="1">
      <c r="A176" s="5">
        <v>59.0</v>
      </c>
      <c r="B176" s="5" t="s">
        <v>15</v>
      </c>
      <c r="C176" s="31">
        <v>1.0</v>
      </c>
      <c r="D176" s="5">
        <v>36.86</v>
      </c>
      <c r="E176" s="5">
        <v>30.77</v>
      </c>
      <c r="F176" s="5">
        <v>32.66</v>
      </c>
      <c r="G176" s="5">
        <f t="shared" si="1"/>
        <v>44.87168929</v>
      </c>
      <c r="H176" s="5">
        <f t="shared" si="2"/>
        <v>43.29328405</v>
      </c>
    </row>
    <row r="177" ht="15.75" customHeight="1">
      <c r="A177" s="5">
        <v>59.0</v>
      </c>
      <c r="B177" s="5" t="s">
        <v>15</v>
      </c>
      <c r="C177" s="31">
        <v>2.0</v>
      </c>
      <c r="D177" s="5">
        <v>40.53</v>
      </c>
      <c r="E177" s="5">
        <v>31.97</v>
      </c>
      <c r="F177" s="5">
        <v>30.24</v>
      </c>
      <c r="G177" s="5">
        <f t="shared" si="1"/>
        <v>44.00611889</v>
      </c>
      <c r="H177" s="5">
        <f t="shared" si="2"/>
        <v>46.59292973</v>
      </c>
    </row>
    <row r="178" ht="15.75" customHeight="1">
      <c r="A178" s="5">
        <v>59.0</v>
      </c>
      <c r="B178" s="5" t="s">
        <v>15</v>
      </c>
      <c r="C178" s="31">
        <v>3.0</v>
      </c>
      <c r="D178" s="5">
        <v>43.66</v>
      </c>
      <c r="E178" s="5">
        <v>35.25</v>
      </c>
      <c r="F178" s="5">
        <v>34.16</v>
      </c>
      <c r="G178" s="5">
        <f t="shared" si="1"/>
        <v>49.08633313</v>
      </c>
      <c r="H178" s="5">
        <f t="shared" si="2"/>
        <v>45.89968688</v>
      </c>
    </row>
    <row r="179" ht="15.75" customHeight="1">
      <c r="A179" s="5">
        <v>60.0</v>
      </c>
      <c r="B179" s="5" t="s">
        <v>15</v>
      </c>
      <c r="C179" s="31">
        <v>1.0</v>
      </c>
      <c r="D179" s="5">
        <v>32.83</v>
      </c>
      <c r="E179" s="5">
        <v>25.65</v>
      </c>
      <c r="F179" s="5">
        <v>30.09</v>
      </c>
      <c r="G179" s="5">
        <f t="shared" si="1"/>
        <v>39.53897571</v>
      </c>
      <c r="H179" s="5">
        <f t="shared" si="2"/>
        <v>40.44568967</v>
      </c>
    </row>
    <row r="180" ht="15.75" customHeight="1">
      <c r="A180" s="5">
        <v>60.0</v>
      </c>
      <c r="B180" s="5" t="s">
        <v>15</v>
      </c>
      <c r="C180" s="31">
        <v>2.0</v>
      </c>
      <c r="D180" s="5">
        <v>42.65</v>
      </c>
      <c r="E180" s="5">
        <v>29.5</v>
      </c>
      <c r="F180" s="5">
        <v>33.55</v>
      </c>
      <c r="G180" s="5">
        <f t="shared" si="1"/>
        <v>44.67496503</v>
      </c>
      <c r="H180" s="5">
        <f t="shared" si="2"/>
        <v>41.3246702</v>
      </c>
    </row>
    <row r="181" ht="15.75" customHeight="1">
      <c r="A181" s="5">
        <v>60.0</v>
      </c>
      <c r="B181" s="5" t="s">
        <v>15</v>
      </c>
      <c r="C181" s="31">
        <v>3.0</v>
      </c>
      <c r="D181" s="5">
        <v>46.15</v>
      </c>
      <c r="E181" s="5">
        <v>10.52</v>
      </c>
      <c r="F181" s="5">
        <v>28.19</v>
      </c>
      <c r="G181" s="5">
        <f t="shared" si="1"/>
        <v>30.08897639</v>
      </c>
      <c r="H181" s="5">
        <f t="shared" si="2"/>
        <v>20.46466802</v>
      </c>
    </row>
    <row r="182" ht="15.75" customHeight="1">
      <c r="A182" s="5">
        <v>61.0</v>
      </c>
      <c r="B182" s="5" t="s">
        <v>15</v>
      </c>
      <c r="C182" s="31">
        <v>1.0</v>
      </c>
      <c r="D182" s="5">
        <v>37.08</v>
      </c>
      <c r="E182" s="5">
        <v>28.85</v>
      </c>
      <c r="F182" s="5">
        <v>36.18</v>
      </c>
      <c r="G182" s="5">
        <f t="shared" si="1"/>
        <v>46.27434386</v>
      </c>
      <c r="H182" s="5">
        <f t="shared" si="2"/>
        <v>38.56892404</v>
      </c>
    </row>
    <row r="183" ht="15.75" customHeight="1">
      <c r="A183" s="5">
        <v>61.0</v>
      </c>
      <c r="B183" s="5" t="s">
        <v>15</v>
      </c>
      <c r="C183" s="31">
        <v>2.0</v>
      </c>
      <c r="D183" s="5">
        <v>42.37</v>
      </c>
      <c r="E183" s="5">
        <v>29.03</v>
      </c>
      <c r="F183" s="5">
        <v>29.61</v>
      </c>
      <c r="G183" s="5">
        <f t="shared" si="1"/>
        <v>41.46676983</v>
      </c>
      <c r="H183" s="5">
        <f t="shared" si="2"/>
        <v>44.43331397</v>
      </c>
    </row>
    <row r="184" ht="15.75" customHeight="1">
      <c r="A184" s="5">
        <v>61.0</v>
      </c>
      <c r="B184" s="5" t="s">
        <v>15</v>
      </c>
      <c r="C184" s="31">
        <v>3.0</v>
      </c>
      <c r="D184" s="5">
        <v>40.93</v>
      </c>
      <c r="E184" s="5">
        <v>20.0</v>
      </c>
      <c r="F184" s="5">
        <v>28.07</v>
      </c>
      <c r="G184" s="5">
        <f t="shared" si="1"/>
        <v>34.46628643</v>
      </c>
      <c r="H184" s="5">
        <f t="shared" si="2"/>
        <v>35.4700414</v>
      </c>
    </row>
    <row r="185" ht="15.75" customHeight="1">
      <c r="A185" s="5">
        <v>62.0</v>
      </c>
      <c r="B185" s="5" t="s">
        <v>15</v>
      </c>
      <c r="C185" s="31">
        <v>1.0</v>
      </c>
      <c r="D185" s="5">
        <v>32.92</v>
      </c>
      <c r="E185" s="5">
        <v>28.08</v>
      </c>
      <c r="F185" s="5">
        <v>27.98</v>
      </c>
      <c r="G185" s="5">
        <f t="shared" si="1"/>
        <v>39.64046922</v>
      </c>
      <c r="H185" s="5">
        <f t="shared" si="2"/>
        <v>45.10220428</v>
      </c>
    </row>
    <row r="186" ht="15.75" customHeight="1">
      <c r="A186" s="5">
        <v>62.0</v>
      </c>
      <c r="B186" s="5" t="s">
        <v>15</v>
      </c>
      <c r="C186" s="31">
        <v>2.0</v>
      </c>
      <c r="D186" s="5">
        <v>37.87</v>
      </c>
      <c r="E186" s="5">
        <v>30.37</v>
      </c>
      <c r="F186" s="5">
        <v>27.29</v>
      </c>
      <c r="G186" s="5">
        <f t="shared" si="1"/>
        <v>40.82990326</v>
      </c>
      <c r="H186" s="5">
        <f t="shared" si="2"/>
        <v>48.05763864</v>
      </c>
    </row>
    <row r="187" ht="15.75" customHeight="1">
      <c r="A187" s="5">
        <v>62.0</v>
      </c>
      <c r="B187" s="5" t="s">
        <v>15</v>
      </c>
      <c r="C187" s="31">
        <v>3.0</v>
      </c>
      <c r="D187" s="5">
        <v>39.75</v>
      </c>
      <c r="E187" s="5">
        <v>11.18</v>
      </c>
      <c r="F187" s="5">
        <v>25.94</v>
      </c>
      <c r="G187" s="5">
        <f t="shared" si="1"/>
        <v>28.24669892</v>
      </c>
      <c r="H187" s="5">
        <f t="shared" si="2"/>
        <v>23.31578142</v>
      </c>
    </row>
    <row r="188" ht="15.75" customHeight="1">
      <c r="A188" s="5">
        <v>63.0</v>
      </c>
      <c r="B188" s="5" t="s">
        <v>15</v>
      </c>
      <c r="C188" s="31">
        <v>1.0</v>
      </c>
      <c r="D188" s="5">
        <v>34.11</v>
      </c>
      <c r="E188" s="5">
        <v>27.42</v>
      </c>
      <c r="F188" s="5">
        <v>29.86</v>
      </c>
      <c r="G188" s="5">
        <f t="shared" si="1"/>
        <v>40.5398076</v>
      </c>
      <c r="H188" s="5">
        <f t="shared" si="2"/>
        <v>42.56080248</v>
      </c>
    </row>
    <row r="189" ht="15.75" customHeight="1">
      <c r="A189" s="5">
        <v>63.0</v>
      </c>
      <c r="B189" s="5" t="s">
        <v>15</v>
      </c>
      <c r="C189" s="31">
        <v>2.0</v>
      </c>
      <c r="D189" s="5">
        <v>40.96</v>
      </c>
      <c r="E189" s="5">
        <v>29.36</v>
      </c>
      <c r="F189" s="5">
        <v>31.93</v>
      </c>
      <c r="G189" s="5">
        <f t="shared" si="1"/>
        <v>43.37665847</v>
      </c>
      <c r="H189" s="5">
        <f t="shared" si="2"/>
        <v>42.59889146</v>
      </c>
    </row>
    <row r="190" ht="15.75" customHeight="1">
      <c r="A190" s="5">
        <v>63.0</v>
      </c>
      <c r="B190" s="5" t="s">
        <v>15</v>
      </c>
      <c r="C190" s="31">
        <v>3.0</v>
      </c>
      <c r="D190" s="5">
        <v>42.65</v>
      </c>
      <c r="E190" s="5">
        <v>18.86</v>
      </c>
      <c r="F190" s="5">
        <v>29.96</v>
      </c>
      <c r="G190" s="5">
        <f t="shared" si="1"/>
        <v>35.40199429</v>
      </c>
      <c r="H190" s="5">
        <f t="shared" si="2"/>
        <v>32.19066145</v>
      </c>
    </row>
    <row r="191" ht="15.75" customHeight="1">
      <c r="A191" s="5">
        <v>64.0</v>
      </c>
      <c r="B191" s="5" t="s">
        <v>15</v>
      </c>
      <c r="C191" s="31">
        <v>1.0</v>
      </c>
      <c r="D191" s="5">
        <v>31.63</v>
      </c>
      <c r="E191" s="5">
        <v>32.79</v>
      </c>
      <c r="F191" s="5">
        <v>32.45</v>
      </c>
      <c r="G191" s="5">
        <f t="shared" si="1"/>
        <v>46.13227287</v>
      </c>
      <c r="H191" s="5">
        <f t="shared" si="2"/>
        <v>45.29859578</v>
      </c>
    </row>
    <row r="192" ht="15.75" customHeight="1">
      <c r="A192" s="5">
        <v>64.0</v>
      </c>
      <c r="B192" s="5" t="s">
        <v>15</v>
      </c>
      <c r="C192" s="31">
        <v>2.0</v>
      </c>
      <c r="D192" s="5">
        <v>38.85</v>
      </c>
      <c r="E192" s="5">
        <v>31.95</v>
      </c>
      <c r="F192" s="5">
        <v>29.83</v>
      </c>
      <c r="G192" s="5">
        <f t="shared" si="1"/>
        <v>43.71076984</v>
      </c>
      <c r="H192" s="5">
        <f t="shared" si="2"/>
        <v>46.96535139</v>
      </c>
    </row>
    <row r="193" ht="15.75" customHeight="1">
      <c r="A193" s="5">
        <v>64.0</v>
      </c>
      <c r="B193" s="5" t="s">
        <v>15</v>
      </c>
      <c r="C193" s="31">
        <v>3.0</v>
      </c>
      <c r="D193" s="5">
        <v>42.69</v>
      </c>
      <c r="E193" s="5">
        <v>24.97</v>
      </c>
      <c r="F193" s="5">
        <v>33.64</v>
      </c>
      <c r="G193" s="5">
        <f t="shared" si="1"/>
        <v>41.89451635</v>
      </c>
      <c r="H193" s="5">
        <f t="shared" si="2"/>
        <v>36.58543151</v>
      </c>
    </row>
    <row r="194" ht="15.75" customHeight="1">
      <c r="A194" s="5">
        <v>65.0</v>
      </c>
      <c r="B194" s="5" t="s">
        <v>15</v>
      </c>
      <c r="C194" s="31">
        <v>1.0</v>
      </c>
      <c r="D194" s="5">
        <v>35.25</v>
      </c>
      <c r="E194" s="5">
        <v>29.02</v>
      </c>
      <c r="F194" s="5">
        <v>32.34</v>
      </c>
      <c r="G194" s="5">
        <f t="shared" si="1"/>
        <v>43.45153622</v>
      </c>
      <c r="H194" s="5">
        <f t="shared" si="2"/>
        <v>41.90292235</v>
      </c>
    </row>
    <row r="195" ht="15.75" customHeight="1">
      <c r="A195" s="5">
        <v>65.0</v>
      </c>
      <c r="B195" s="5" t="s">
        <v>15</v>
      </c>
      <c r="C195" s="31">
        <v>2.0</v>
      </c>
      <c r="D195" s="5">
        <v>38.91</v>
      </c>
      <c r="E195" s="5">
        <v>30.73</v>
      </c>
      <c r="F195" s="5">
        <v>29.75</v>
      </c>
      <c r="G195" s="5">
        <f t="shared" si="1"/>
        <v>42.77143205</v>
      </c>
      <c r="H195" s="5">
        <f t="shared" si="2"/>
        <v>45.92832259</v>
      </c>
    </row>
    <row r="196" ht="15.75" customHeight="1">
      <c r="A196" s="5">
        <v>65.0</v>
      </c>
      <c r="B196" s="5" t="s">
        <v>15</v>
      </c>
      <c r="C196" s="31">
        <v>3.0</v>
      </c>
      <c r="D196" s="5">
        <v>40.81</v>
      </c>
      <c r="E196" s="5">
        <v>22.9</v>
      </c>
      <c r="F196" s="5">
        <v>27.17</v>
      </c>
      <c r="G196" s="5">
        <f t="shared" si="1"/>
        <v>35.53334912</v>
      </c>
      <c r="H196" s="5">
        <f t="shared" si="2"/>
        <v>40.12557518</v>
      </c>
    </row>
    <row r="197" ht="15.75" customHeight="1">
      <c r="A197" s="5">
        <v>66.0</v>
      </c>
      <c r="B197" s="5" t="s">
        <v>15</v>
      </c>
      <c r="C197" s="31">
        <v>1.0</v>
      </c>
      <c r="D197" s="5">
        <v>34.67</v>
      </c>
      <c r="E197" s="5">
        <v>28.04</v>
      </c>
      <c r="F197" s="5">
        <v>31.57</v>
      </c>
      <c r="G197" s="5">
        <f t="shared" si="1"/>
        <v>42.2244775</v>
      </c>
      <c r="H197" s="5">
        <f t="shared" si="2"/>
        <v>41.61100191</v>
      </c>
    </row>
    <row r="198" ht="15.75" customHeight="1">
      <c r="A198" s="5">
        <v>66.0</v>
      </c>
      <c r="B198" s="5" t="s">
        <v>15</v>
      </c>
      <c r="C198" s="31">
        <v>2.0</v>
      </c>
      <c r="D198" s="5">
        <v>39.41</v>
      </c>
      <c r="E198" s="5">
        <v>33.09</v>
      </c>
      <c r="F198" s="5">
        <v>31.19</v>
      </c>
      <c r="G198" s="5">
        <f t="shared" si="1"/>
        <v>45.47267531</v>
      </c>
      <c r="H198" s="5">
        <f t="shared" si="2"/>
        <v>46.69306618</v>
      </c>
    </row>
    <row r="199" ht="15.75" customHeight="1">
      <c r="A199" s="5">
        <v>66.0</v>
      </c>
      <c r="B199" s="5" t="s">
        <v>15</v>
      </c>
      <c r="C199" s="31">
        <v>3.0</v>
      </c>
      <c r="D199" s="5">
        <v>42.62</v>
      </c>
      <c r="E199" s="5">
        <v>37.98</v>
      </c>
      <c r="F199" s="5">
        <v>32.51</v>
      </c>
      <c r="G199" s="5">
        <f t="shared" si="1"/>
        <v>49.99380462</v>
      </c>
      <c r="H199" s="5">
        <f t="shared" si="2"/>
        <v>49.43724065</v>
      </c>
    </row>
    <row r="200" ht="15.75" customHeight="1">
      <c r="A200" s="5"/>
      <c r="B200" s="5"/>
      <c r="C200" s="31"/>
      <c r="D200" s="5"/>
      <c r="E200" s="5"/>
      <c r="F200" s="5"/>
      <c r="G200" s="5"/>
      <c r="H200" s="5"/>
    </row>
    <row r="201" ht="15.75" customHeight="1">
      <c r="A201" s="5"/>
      <c r="B201" s="5"/>
      <c r="C201" s="31"/>
      <c r="D201" s="5"/>
      <c r="E201" s="5"/>
      <c r="F201" s="5"/>
      <c r="G201" s="5"/>
      <c r="H201" s="5"/>
    </row>
    <row r="202" ht="15.75" customHeight="1">
      <c r="A202" s="5"/>
      <c r="B202" s="5"/>
      <c r="C202" s="31"/>
      <c r="D202" s="5"/>
      <c r="E202" s="5"/>
      <c r="F202" s="5"/>
      <c r="G202" s="5"/>
      <c r="H202" s="5"/>
    </row>
    <row r="203" ht="15.75" customHeight="1">
      <c r="A203" s="5"/>
      <c r="B203" s="5"/>
      <c r="C203" s="31"/>
      <c r="D203" s="5"/>
      <c r="E203" s="5"/>
      <c r="F203" s="5"/>
      <c r="G203" s="5"/>
      <c r="H203" s="5"/>
    </row>
    <row r="204" ht="15.75" customHeight="1">
      <c r="A204" s="5"/>
      <c r="B204" s="5"/>
      <c r="C204" s="31"/>
      <c r="D204" s="5"/>
      <c r="E204" s="5"/>
      <c r="F204" s="5"/>
      <c r="G204" s="5"/>
      <c r="H204" s="5"/>
    </row>
    <row r="205" ht="15.75" customHeight="1">
      <c r="A205" s="5"/>
      <c r="B205" s="5"/>
      <c r="C205" s="31"/>
      <c r="D205" s="5"/>
      <c r="E205" s="5"/>
      <c r="F205" s="5"/>
      <c r="G205" s="5"/>
      <c r="H205" s="5"/>
    </row>
    <row r="206" ht="15.75" customHeight="1">
      <c r="A206" s="5"/>
      <c r="B206" s="5"/>
      <c r="C206" s="31"/>
      <c r="D206" s="5"/>
      <c r="E206" s="5"/>
      <c r="F206" s="5"/>
      <c r="G206" s="5"/>
      <c r="H206" s="5"/>
    </row>
    <row r="207" ht="15.75" customHeight="1">
      <c r="A207" s="5"/>
      <c r="B207" s="5"/>
      <c r="C207" s="31"/>
      <c r="D207" s="5"/>
      <c r="E207" s="5"/>
      <c r="F207" s="5"/>
      <c r="G207" s="5"/>
      <c r="H207" s="5"/>
    </row>
    <row r="208" ht="15.75" customHeight="1">
      <c r="A208" s="5"/>
      <c r="B208" s="5"/>
      <c r="C208" s="31"/>
      <c r="D208" s="5"/>
      <c r="E208" s="5"/>
      <c r="F208" s="5"/>
      <c r="G208" s="5"/>
      <c r="H208" s="5"/>
    </row>
    <row r="209" ht="15.75" customHeight="1">
      <c r="A209" s="5"/>
      <c r="B209" s="5"/>
      <c r="C209" s="31"/>
      <c r="D209" s="5"/>
      <c r="E209" s="5"/>
      <c r="F209" s="5"/>
      <c r="G209" s="5"/>
      <c r="H209" s="5"/>
    </row>
    <row r="210" ht="15.75" customHeight="1">
      <c r="A210" s="5"/>
      <c r="B210" s="5"/>
      <c r="C210" s="31"/>
      <c r="D210" s="5"/>
      <c r="E210" s="5"/>
      <c r="F210" s="5"/>
      <c r="G210" s="5"/>
      <c r="H210" s="5"/>
    </row>
    <row r="211" ht="15.75" customHeight="1">
      <c r="A211" s="5"/>
      <c r="B211" s="5"/>
      <c r="C211" s="31"/>
      <c r="D211" s="5"/>
      <c r="E211" s="5"/>
      <c r="F211" s="5"/>
      <c r="G211" s="5"/>
      <c r="H211" s="5"/>
    </row>
    <row r="212" ht="15.75" customHeight="1">
      <c r="C212" s="31"/>
      <c r="H212" s="5"/>
    </row>
    <row r="213" ht="15.75" customHeight="1">
      <c r="C213" s="31"/>
    </row>
    <row r="214" ht="15.75" customHeight="1">
      <c r="C214" s="31"/>
    </row>
    <row r="215" ht="15.75" customHeight="1">
      <c r="C215" s="31"/>
    </row>
    <row r="216" ht="15.75" customHeight="1">
      <c r="C216" s="31"/>
    </row>
    <row r="217" ht="15.75" customHeight="1">
      <c r="C217" s="31"/>
    </row>
    <row r="218" ht="15.75" customHeight="1">
      <c r="C218" s="31"/>
    </row>
    <row r="219" ht="15.75" customHeight="1">
      <c r="C219" s="31"/>
    </row>
    <row r="220" ht="15.75" customHeight="1">
      <c r="C220" s="31"/>
    </row>
    <row r="221" ht="15.75" customHeight="1">
      <c r="C221" s="31"/>
    </row>
    <row r="222" ht="15.75" customHeight="1">
      <c r="C222" s="31"/>
    </row>
    <row r="223" ht="15.75" customHeight="1">
      <c r="C223" s="31"/>
    </row>
    <row r="224" ht="15.75" customHeight="1">
      <c r="C224" s="31"/>
    </row>
    <row r="225" ht="15.75" customHeight="1">
      <c r="C225" s="31"/>
    </row>
    <row r="226" ht="15.75" customHeight="1">
      <c r="C226" s="31"/>
    </row>
    <row r="227" ht="15.75" customHeight="1">
      <c r="C227" s="31"/>
    </row>
    <row r="228" ht="15.75" customHeight="1">
      <c r="C228" s="31"/>
    </row>
    <row r="229" ht="15.75" customHeight="1">
      <c r="C229" s="31"/>
    </row>
    <row r="230" ht="15.75" customHeight="1">
      <c r="C230" s="31"/>
    </row>
    <row r="231" ht="15.75" customHeight="1">
      <c r="C231" s="31"/>
    </row>
    <row r="232" ht="15.75" customHeight="1">
      <c r="C232" s="31"/>
    </row>
    <row r="233" ht="15.75" customHeight="1">
      <c r="C233" s="31"/>
    </row>
    <row r="234" ht="15.75" customHeight="1">
      <c r="C234" s="31"/>
    </row>
    <row r="235" ht="15.75" customHeight="1">
      <c r="C235" s="31"/>
    </row>
    <row r="236" ht="15.75" customHeight="1">
      <c r="C236" s="31"/>
    </row>
    <row r="237" ht="15.75" customHeight="1">
      <c r="C237" s="31"/>
    </row>
    <row r="238" ht="15.75" customHeight="1">
      <c r="C238" s="31"/>
    </row>
    <row r="239" ht="15.75" customHeight="1">
      <c r="C239" s="31"/>
    </row>
    <row r="240" ht="15.75" customHeight="1">
      <c r="C240" s="31"/>
    </row>
    <row r="241" ht="15.75" customHeight="1">
      <c r="C241" s="31"/>
    </row>
    <row r="242" ht="15.75" customHeight="1">
      <c r="C242" s="31"/>
    </row>
    <row r="243" ht="15.75" customHeight="1">
      <c r="C243" s="31"/>
    </row>
    <row r="244" ht="15.75" customHeight="1">
      <c r="C244" s="31"/>
    </row>
    <row r="245" ht="15.75" customHeight="1">
      <c r="C245" s="31"/>
    </row>
    <row r="246" ht="15.75" customHeight="1">
      <c r="C246" s="31"/>
    </row>
    <row r="247" ht="15.75" customHeight="1">
      <c r="C247" s="31"/>
    </row>
    <row r="248" ht="15.75" customHeight="1">
      <c r="C248" s="31"/>
    </row>
    <row r="249" ht="15.75" customHeight="1">
      <c r="C249" s="31"/>
    </row>
    <row r="250" ht="15.75" customHeight="1">
      <c r="C250" s="31"/>
    </row>
    <row r="251" ht="15.75" customHeight="1">
      <c r="C251" s="31"/>
    </row>
    <row r="252" ht="15.75" customHeight="1">
      <c r="C252" s="31"/>
    </row>
    <row r="253" ht="15.75" customHeight="1">
      <c r="C253" s="31"/>
    </row>
    <row r="254" ht="15.75" customHeight="1">
      <c r="C254" s="31"/>
    </row>
    <row r="255" ht="15.75" customHeight="1">
      <c r="C255" s="31"/>
    </row>
    <row r="256" ht="15.75" customHeight="1">
      <c r="C256" s="31"/>
    </row>
    <row r="257" ht="15.75" customHeight="1">
      <c r="C257" s="31"/>
    </row>
    <row r="258" ht="15.75" customHeight="1">
      <c r="C258" s="31"/>
    </row>
    <row r="259" ht="15.75" customHeight="1">
      <c r="C259" s="31"/>
    </row>
    <row r="260" ht="15.75" customHeight="1">
      <c r="C260" s="31"/>
    </row>
    <row r="261" ht="15.75" customHeight="1">
      <c r="C261" s="31"/>
    </row>
    <row r="262" ht="15.75" customHeight="1">
      <c r="C262" s="31"/>
    </row>
    <row r="263" ht="15.75" customHeight="1">
      <c r="C263" s="31"/>
    </row>
    <row r="264" ht="15.75" customHeight="1">
      <c r="C264" s="31"/>
    </row>
    <row r="265" ht="15.75" customHeight="1">
      <c r="C265" s="31"/>
    </row>
    <row r="266" ht="15.75" customHeight="1">
      <c r="C266" s="31"/>
    </row>
    <row r="267" ht="15.75" customHeight="1">
      <c r="C267" s="31"/>
    </row>
    <row r="268" ht="15.75" customHeight="1">
      <c r="C268" s="31"/>
    </row>
    <row r="269" ht="15.75" customHeight="1">
      <c r="C269" s="31"/>
    </row>
    <row r="270" ht="15.75" customHeight="1">
      <c r="C270" s="31"/>
    </row>
    <row r="271" ht="15.75" customHeight="1">
      <c r="C271" s="31"/>
    </row>
    <row r="272" ht="15.75" customHeight="1">
      <c r="C272" s="32"/>
    </row>
    <row r="273" ht="15.75" customHeight="1">
      <c r="C273" s="32"/>
    </row>
    <row r="274" ht="15.75" customHeight="1">
      <c r="C274" s="32"/>
    </row>
    <row r="275" ht="15.75" customHeight="1">
      <c r="C275" s="32"/>
    </row>
    <row r="276" ht="15.75" customHeight="1">
      <c r="C276" s="32"/>
    </row>
    <row r="277" ht="15.75" customHeight="1">
      <c r="C277" s="32"/>
    </row>
    <row r="278" ht="15.75" customHeight="1">
      <c r="C278" s="32"/>
    </row>
    <row r="279" ht="15.75" customHeight="1">
      <c r="C279" s="32"/>
    </row>
    <row r="280" ht="15.75" customHeight="1">
      <c r="C280" s="32"/>
    </row>
    <row r="281" ht="15.75" customHeight="1">
      <c r="C281" s="32"/>
    </row>
    <row r="282" ht="15.75" customHeight="1">
      <c r="C282" s="32"/>
    </row>
    <row r="283" ht="15.75" customHeight="1">
      <c r="C283" s="32"/>
    </row>
    <row r="284" ht="15.75" customHeight="1">
      <c r="C284" s="32"/>
    </row>
    <row r="285" ht="15.75" customHeight="1">
      <c r="C285" s="32"/>
    </row>
    <row r="286" ht="15.75" customHeight="1">
      <c r="C286" s="32"/>
    </row>
    <row r="287" ht="15.75" customHeight="1">
      <c r="C287" s="32"/>
    </row>
    <row r="288" ht="15.75" customHeight="1">
      <c r="C288" s="32"/>
    </row>
    <row r="289" ht="15.75" customHeight="1">
      <c r="C289" s="32"/>
    </row>
    <row r="290" ht="15.75" customHeight="1">
      <c r="C290" s="32"/>
    </row>
    <row r="291" ht="15.75" customHeight="1">
      <c r="C291" s="32"/>
    </row>
    <row r="292" ht="15.75" customHeight="1">
      <c r="C292" s="32"/>
    </row>
    <row r="293" ht="15.75" customHeight="1">
      <c r="C293" s="32"/>
    </row>
    <row r="294" ht="15.75" customHeight="1">
      <c r="C294" s="32"/>
    </row>
    <row r="295" ht="15.75" customHeight="1">
      <c r="C295" s="32"/>
    </row>
    <row r="296" ht="15.75" customHeight="1">
      <c r="C296" s="32"/>
    </row>
    <row r="297" ht="15.75" customHeight="1">
      <c r="C297" s="32"/>
    </row>
    <row r="298" ht="15.75" customHeight="1">
      <c r="C298" s="32"/>
    </row>
    <row r="299" ht="15.75" customHeight="1">
      <c r="C299" s="32"/>
    </row>
    <row r="300" ht="15.75" customHeight="1">
      <c r="C300" s="32"/>
    </row>
    <row r="301" ht="15.75" customHeight="1">
      <c r="C301" s="32"/>
    </row>
    <row r="302" ht="15.75" customHeight="1">
      <c r="C302" s="32"/>
    </row>
    <row r="303" ht="15.75" customHeight="1">
      <c r="C303" s="32"/>
    </row>
    <row r="304" ht="15.75" customHeight="1">
      <c r="C304" s="32"/>
    </row>
    <row r="305" ht="15.75" customHeight="1">
      <c r="C305" s="32"/>
    </row>
    <row r="306" ht="15.75" customHeight="1">
      <c r="C306" s="32"/>
    </row>
    <row r="307" ht="15.75" customHeight="1">
      <c r="C307" s="32"/>
    </row>
    <row r="308" ht="15.75" customHeight="1">
      <c r="C308" s="32"/>
    </row>
    <row r="309" ht="15.75" customHeight="1">
      <c r="C309" s="32"/>
    </row>
    <row r="310" ht="15.75" customHeight="1">
      <c r="C310" s="32"/>
    </row>
    <row r="311" ht="15.75" customHeight="1">
      <c r="C311" s="32"/>
    </row>
    <row r="312" ht="15.75" customHeight="1">
      <c r="C312" s="32"/>
    </row>
    <row r="313" ht="15.75" customHeight="1">
      <c r="C313" s="32"/>
    </row>
    <row r="314" ht="15.75" customHeight="1">
      <c r="C314" s="32"/>
    </row>
    <row r="315" ht="15.75" customHeight="1">
      <c r="C315" s="32"/>
    </row>
    <row r="316" ht="15.75" customHeight="1">
      <c r="C316" s="32"/>
    </row>
    <row r="317" ht="15.75" customHeight="1">
      <c r="C317" s="32"/>
    </row>
    <row r="318" ht="15.75" customHeight="1">
      <c r="C318" s="32"/>
    </row>
    <row r="319" ht="15.75" customHeight="1">
      <c r="C319" s="32"/>
    </row>
    <row r="320" ht="15.75" customHeight="1">
      <c r="C320" s="32"/>
    </row>
    <row r="321" ht="15.75" customHeight="1">
      <c r="C321" s="32"/>
    </row>
    <row r="322" ht="15.75" customHeight="1">
      <c r="C322" s="32"/>
    </row>
    <row r="323" ht="15.75" customHeight="1">
      <c r="C323" s="32"/>
    </row>
    <row r="324" ht="15.75" customHeight="1">
      <c r="C324" s="32"/>
    </row>
    <row r="325" ht="15.75" customHeight="1">
      <c r="C325" s="32"/>
    </row>
    <row r="326" ht="15.75" customHeight="1">
      <c r="C326" s="32"/>
    </row>
    <row r="327" ht="15.75" customHeight="1">
      <c r="C327" s="32"/>
    </row>
    <row r="328" ht="15.75" customHeight="1">
      <c r="C328" s="32"/>
    </row>
    <row r="329" ht="15.75" customHeight="1">
      <c r="C329" s="32"/>
    </row>
    <row r="330" ht="15.75" customHeight="1">
      <c r="C330" s="32"/>
    </row>
    <row r="331" ht="15.75" customHeight="1">
      <c r="C331" s="32"/>
    </row>
    <row r="332" ht="15.75" customHeight="1">
      <c r="C332" s="32"/>
    </row>
    <row r="333" ht="15.75" customHeight="1">
      <c r="C333" s="32"/>
    </row>
    <row r="334" ht="15.75" customHeight="1">
      <c r="C334" s="32"/>
    </row>
    <row r="335" ht="15.75" customHeight="1">
      <c r="C335" s="32"/>
    </row>
    <row r="336" ht="15.75" customHeight="1">
      <c r="C336" s="32"/>
    </row>
    <row r="337" ht="15.75" customHeight="1">
      <c r="C337" s="32"/>
    </row>
    <row r="338" ht="15.75" customHeight="1">
      <c r="C338" s="32"/>
    </row>
    <row r="339" ht="15.75" customHeight="1">
      <c r="C339" s="32"/>
    </row>
    <row r="340" ht="15.75" customHeight="1">
      <c r="C340" s="32"/>
    </row>
    <row r="341" ht="15.75" customHeight="1">
      <c r="C341" s="32"/>
    </row>
    <row r="342" ht="15.75" customHeight="1">
      <c r="C342" s="32"/>
    </row>
    <row r="343" ht="15.75" customHeight="1">
      <c r="C343" s="32"/>
    </row>
    <row r="344" ht="15.75" customHeight="1">
      <c r="C344" s="32"/>
    </row>
    <row r="345" ht="15.75" customHeight="1">
      <c r="C345" s="32"/>
    </row>
    <row r="346" ht="15.75" customHeight="1">
      <c r="C346" s="32"/>
    </row>
    <row r="347" ht="15.75" customHeight="1">
      <c r="C347" s="32"/>
    </row>
    <row r="348" ht="15.75" customHeight="1">
      <c r="C348" s="32"/>
    </row>
    <row r="349" ht="15.75" customHeight="1">
      <c r="C349" s="32"/>
    </row>
    <row r="350" ht="15.75" customHeight="1">
      <c r="C350" s="32"/>
    </row>
    <row r="351" ht="15.75" customHeight="1">
      <c r="C351" s="32"/>
    </row>
    <row r="352" ht="15.75" customHeight="1">
      <c r="C352" s="32"/>
    </row>
    <row r="353" ht="15.75" customHeight="1">
      <c r="C353" s="32"/>
    </row>
    <row r="354" ht="15.75" customHeight="1">
      <c r="C354" s="32"/>
    </row>
    <row r="355" ht="15.75" customHeight="1">
      <c r="C355" s="32"/>
    </row>
    <row r="356" ht="15.75" customHeight="1">
      <c r="C356" s="32"/>
    </row>
    <row r="357" ht="15.75" customHeight="1">
      <c r="C357" s="32"/>
    </row>
    <row r="358" ht="15.75" customHeight="1">
      <c r="C358" s="32"/>
    </row>
    <row r="359" ht="15.75" customHeight="1">
      <c r="C359" s="32"/>
    </row>
    <row r="360" ht="15.75" customHeight="1">
      <c r="C360" s="32"/>
    </row>
    <row r="361" ht="15.75" customHeight="1">
      <c r="C361" s="32"/>
    </row>
    <row r="362" ht="15.75" customHeight="1">
      <c r="C362" s="32"/>
    </row>
    <row r="363" ht="15.75" customHeight="1">
      <c r="C363" s="32"/>
    </row>
    <row r="364" ht="15.75" customHeight="1">
      <c r="C364" s="32"/>
    </row>
    <row r="365" ht="15.75" customHeight="1">
      <c r="C365" s="32"/>
    </row>
    <row r="366" ht="15.75" customHeight="1">
      <c r="C366" s="32"/>
    </row>
    <row r="367" ht="15.75" customHeight="1">
      <c r="C367" s="32"/>
    </row>
    <row r="368" ht="15.75" customHeight="1">
      <c r="C368" s="32"/>
    </row>
    <row r="369" ht="15.75" customHeight="1">
      <c r="C369" s="32"/>
    </row>
    <row r="370" ht="15.75" customHeight="1">
      <c r="C370" s="32"/>
    </row>
    <row r="371" ht="15.75" customHeight="1">
      <c r="C371" s="32"/>
    </row>
    <row r="372" ht="15.75" customHeight="1">
      <c r="C372" s="32"/>
    </row>
    <row r="373" ht="15.75" customHeight="1">
      <c r="C373" s="32"/>
    </row>
    <row r="374" ht="15.75" customHeight="1">
      <c r="C374" s="32"/>
    </row>
    <row r="375" ht="15.75" customHeight="1">
      <c r="C375" s="32"/>
    </row>
    <row r="376" ht="15.75" customHeight="1">
      <c r="C376" s="32"/>
    </row>
    <row r="377" ht="15.75" customHeight="1">
      <c r="C377" s="32"/>
    </row>
    <row r="378" ht="15.75" customHeight="1">
      <c r="C378" s="32"/>
    </row>
    <row r="379" ht="15.75" customHeight="1">
      <c r="C379" s="32"/>
    </row>
    <row r="380" ht="15.75" customHeight="1">
      <c r="C380" s="32"/>
    </row>
    <row r="381" ht="15.75" customHeight="1">
      <c r="C381" s="32"/>
    </row>
    <row r="382" ht="15.75" customHeight="1">
      <c r="C382" s="32"/>
    </row>
    <row r="383" ht="15.75" customHeight="1">
      <c r="C383" s="32"/>
    </row>
    <row r="384" ht="15.75" customHeight="1">
      <c r="C384" s="32"/>
    </row>
    <row r="385" ht="15.75" customHeight="1">
      <c r="C385" s="32"/>
    </row>
    <row r="386" ht="15.75" customHeight="1">
      <c r="C386" s="32"/>
    </row>
    <row r="387" ht="15.75" customHeight="1">
      <c r="C387" s="32"/>
    </row>
    <row r="388" ht="15.75" customHeight="1">
      <c r="C388" s="32"/>
    </row>
    <row r="389" ht="15.75" customHeight="1">
      <c r="C389" s="32"/>
    </row>
    <row r="390" ht="15.75" customHeight="1">
      <c r="C390" s="32"/>
    </row>
    <row r="391" ht="15.75" customHeight="1">
      <c r="C391" s="32"/>
    </row>
    <row r="392" ht="15.75" customHeight="1">
      <c r="C392" s="32"/>
    </row>
    <row r="393" ht="15.75" customHeight="1">
      <c r="C393" s="32"/>
    </row>
    <row r="394" ht="15.75" customHeight="1">
      <c r="C394" s="32"/>
    </row>
    <row r="395" ht="15.75" customHeight="1">
      <c r="C395" s="32"/>
    </row>
    <row r="396" ht="15.75" customHeight="1">
      <c r="C396" s="32"/>
    </row>
    <row r="397" ht="15.75" customHeight="1">
      <c r="C397" s="32"/>
    </row>
    <row r="398" ht="15.75" customHeight="1">
      <c r="C398" s="32"/>
    </row>
    <row r="399" ht="15.75" customHeight="1">
      <c r="C399" s="32"/>
    </row>
    <row r="400" ht="15.75" customHeight="1">
      <c r="C400" s="32"/>
    </row>
    <row r="401" ht="15.75" customHeight="1">
      <c r="C401" s="32"/>
    </row>
    <row r="402" ht="15.75" customHeight="1">
      <c r="C402" s="32"/>
    </row>
    <row r="403" ht="15.75" customHeight="1">
      <c r="C403" s="32"/>
    </row>
    <row r="404" ht="15.75" customHeight="1">
      <c r="C404" s="32"/>
    </row>
    <row r="405" ht="15.75" customHeight="1">
      <c r="C405" s="32"/>
    </row>
    <row r="406" ht="15.75" customHeight="1">
      <c r="C406" s="32"/>
    </row>
    <row r="407" ht="15.75" customHeight="1">
      <c r="C407" s="32"/>
    </row>
    <row r="408" ht="15.75" customHeight="1">
      <c r="C408" s="32"/>
    </row>
    <row r="409" ht="15.75" customHeight="1">
      <c r="C409" s="32"/>
    </row>
    <row r="410" ht="15.75" customHeight="1">
      <c r="C410" s="32"/>
    </row>
    <row r="411" ht="15.75" customHeight="1">
      <c r="C411" s="32"/>
    </row>
    <row r="412" ht="15.75" customHeight="1">
      <c r="C412" s="32"/>
    </row>
    <row r="413" ht="15.75" customHeight="1">
      <c r="C413" s="32"/>
    </row>
    <row r="414" ht="15.75" customHeight="1">
      <c r="C414" s="32"/>
    </row>
    <row r="415" ht="15.75" customHeight="1">
      <c r="C415" s="32"/>
    </row>
    <row r="416" ht="15.75" customHeight="1">
      <c r="C416" s="32"/>
    </row>
    <row r="417" ht="15.75" customHeight="1">
      <c r="C417" s="32"/>
    </row>
    <row r="418" ht="15.75" customHeight="1">
      <c r="C418" s="32"/>
    </row>
    <row r="419" ht="15.75" customHeight="1">
      <c r="C419" s="32"/>
    </row>
    <row r="420" ht="15.75" customHeight="1">
      <c r="C420" s="32"/>
    </row>
    <row r="421" ht="15.75" customHeight="1">
      <c r="C421" s="32"/>
    </row>
    <row r="422" ht="15.75" customHeight="1">
      <c r="C422" s="32"/>
    </row>
    <row r="423" ht="15.75" customHeight="1">
      <c r="C423" s="32"/>
    </row>
    <row r="424" ht="15.75" customHeight="1">
      <c r="C424" s="32"/>
    </row>
    <row r="425" ht="15.75" customHeight="1">
      <c r="C425" s="32"/>
    </row>
    <row r="426" ht="15.75" customHeight="1">
      <c r="C426" s="32"/>
    </row>
    <row r="427" ht="15.75" customHeight="1">
      <c r="C427" s="32"/>
    </row>
    <row r="428" ht="15.75" customHeight="1">
      <c r="C428" s="32"/>
    </row>
    <row r="429" ht="15.75" customHeight="1">
      <c r="C429" s="32"/>
    </row>
    <row r="430" ht="15.75" customHeight="1">
      <c r="C430" s="32"/>
    </row>
    <row r="431" ht="15.75" customHeight="1">
      <c r="C431" s="32"/>
    </row>
    <row r="432" ht="15.75" customHeight="1">
      <c r="C432" s="32"/>
    </row>
    <row r="433" ht="15.75" customHeight="1">
      <c r="C433" s="32"/>
    </row>
    <row r="434" ht="15.75" customHeight="1">
      <c r="C434" s="32"/>
    </row>
    <row r="435" ht="15.75" customHeight="1">
      <c r="C435" s="32"/>
    </row>
    <row r="436" ht="15.75" customHeight="1">
      <c r="C436" s="32"/>
    </row>
    <row r="437" ht="15.75" customHeight="1">
      <c r="C437" s="32"/>
    </row>
    <row r="438" ht="15.75" customHeight="1">
      <c r="C438" s="32"/>
    </row>
    <row r="439" ht="15.75" customHeight="1">
      <c r="C439" s="32"/>
    </row>
    <row r="440" ht="15.75" customHeight="1">
      <c r="C440" s="32"/>
    </row>
    <row r="441" ht="15.75" customHeight="1">
      <c r="C441" s="32"/>
    </row>
    <row r="442" ht="15.75" customHeight="1">
      <c r="C442" s="32"/>
    </row>
    <row r="443" ht="15.75" customHeight="1">
      <c r="C443" s="32"/>
    </row>
    <row r="444" ht="15.75" customHeight="1">
      <c r="C444" s="32"/>
    </row>
    <row r="445" ht="15.75" customHeight="1">
      <c r="C445" s="32"/>
    </row>
    <row r="446" ht="15.75" customHeight="1">
      <c r="C446" s="32"/>
    </row>
    <row r="447" ht="15.75" customHeight="1">
      <c r="C447" s="32"/>
    </row>
    <row r="448" ht="15.75" customHeight="1">
      <c r="C448" s="32"/>
    </row>
    <row r="449" ht="15.75" customHeight="1">
      <c r="C449" s="32"/>
    </row>
    <row r="450" ht="15.75" customHeight="1">
      <c r="C450" s="32"/>
    </row>
    <row r="451" ht="15.75" customHeight="1">
      <c r="C451" s="32"/>
    </row>
    <row r="452" ht="15.75" customHeight="1">
      <c r="C452" s="32"/>
    </row>
    <row r="453" ht="15.75" customHeight="1">
      <c r="C453" s="32"/>
    </row>
    <row r="454" ht="15.75" customHeight="1">
      <c r="C454" s="32"/>
    </row>
    <row r="455" ht="15.75" customHeight="1">
      <c r="C455" s="32"/>
    </row>
    <row r="456" ht="15.75" customHeight="1">
      <c r="C456" s="32"/>
    </row>
    <row r="457" ht="15.75" customHeight="1">
      <c r="C457" s="32"/>
    </row>
    <row r="458" ht="15.75" customHeight="1">
      <c r="C458" s="32"/>
    </row>
    <row r="459" ht="15.75" customHeight="1">
      <c r="C459" s="32"/>
    </row>
    <row r="460" ht="15.75" customHeight="1">
      <c r="C460" s="32"/>
    </row>
    <row r="461" ht="15.75" customHeight="1">
      <c r="C461" s="32"/>
    </row>
    <row r="462" ht="15.75" customHeight="1">
      <c r="C462" s="32"/>
    </row>
    <row r="463" ht="15.75" customHeight="1">
      <c r="C463" s="32"/>
    </row>
    <row r="464" ht="15.75" customHeight="1">
      <c r="C464" s="32"/>
    </row>
    <row r="465" ht="15.75" customHeight="1">
      <c r="C465" s="32"/>
    </row>
    <row r="466" ht="15.75" customHeight="1">
      <c r="C466" s="32"/>
    </row>
    <row r="467" ht="15.75" customHeight="1">
      <c r="C467" s="32"/>
    </row>
    <row r="468" ht="15.75" customHeight="1">
      <c r="C468" s="32"/>
    </row>
    <row r="469" ht="15.75" customHeight="1">
      <c r="C469" s="32"/>
    </row>
    <row r="470" ht="15.75" customHeight="1">
      <c r="C470" s="32"/>
    </row>
    <row r="471" ht="15.75" customHeight="1">
      <c r="C471" s="32"/>
    </row>
    <row r="472" ht="15.75" customHeight="1">
      <c r="C472" s="32"/>
    </row>
    <row r="473" ht="15.75" customHeight="1">
      <c r="C473" s="32"/>
    </row>
    <row r="474" ht="15.75" customHeight="1">
      <c r="C474" s="32"/>
    </row>
    <row r="475" ht="15.75" customHeight="1">
      <c r="C475" s="32"/>
    </row>
    <row r="476" ht="15.75" customHeight="1">
      <c r="C476" s="32"/>
    </row>
    <row r="477" ht="15.75" customHeight="1">
      <c r="C477" s="32"/>
    </row>
    <row r="478" ht="15.75" customHeight="1">
      <c r="C478" s="32"/>
    </row>
    <row r="479" ht="15.75" customHeight="1">
      <c r="C479" s="32"/>
    </row>
    <row r="480" ht="15.75" customHeight="1">
      <c r="C480" s="32"/>
    </row>
    <row r="481" ht="15.75" customHeight="1">
      <c r="C481" s="32"/>
    </row>
    <row r="482" ht="15.75" customHeight="1">
      <c r="C482" s="32"/>
    </row>
    <row r="483" ht="15.75" customHeight="1">
      <c r="C483" s="32"/>
    </row>
    <row r="484" ht="15.75" customHeight="1">
      <c r="C484" s="32"/>
    </row>
    <row r="485" ht="15.75" customHeight="1">
      <c r="C485" s="32"/>
    </row>
    <row r="486" ht="15.75" customHeight="1">
      <c r="C486" s="32"/>
    </row>
    <row r="487" ht="15.75" customHeight="1">
      <c r="C487" s="32"/>
    </row>
    <row r="488" ht="15.75" customHeight="1">
      <c r="C488" s="32"/>
    </row>
    <row r="489" ht="15.75" customHeight="1">
      <c r="C489" s="32"/>
    </row>
    <row r="490" ht="15.75" customHeight="1">
      <c r="C490" s="32"/>
    </row>
    <row r="491" ht="15.75" customHeight="1">
      <c r="C491" s="32"/>
    </row>
    <row r="492" ht="15.75" customHeight="1">
      <c r="C492" s="32"/>
    </row>
    <row r="493" ht="15.75" customHeight="1">
      <c r="C493" s="32"/>
    </row>
    <row r="494" ht="15.75" customHeight="1">
      <c r="C494" s="32"/>
    </row>
    <row r="495" ht="15.75" customHeight="1">
      <c r="C495" s="32"/>
    </row>
    <row r="496" ht="15.75" customHeight="1">
      <c r="C496" s="32"/>
    </row>
    <row r="497" ht="15.75" customHeight="1">
      <c r="C497" s="32"/>
    </row>
    <row r="498" ht="15.75" customHeight="1">
      <c r="C498" s="32"/>
    </row>
    <row r="499" ht="15.75" customHeight="1">
      <c r="C499" s="32"/>
    </row>
    <row r="500" ht="15.75" customHeight="1">
      <c r="C500" s="32"/>
    </row>
    <row r="501" ht="15.75" customHeight="1">
      <c r="C501" s="32"/>
    </row>
    <row r="502" ht="15.75" customHeight="1">
      <c r="C502" s="32"/>
    </row>
    <row r="503" ht="15.75" customHeight="1">
      <c r="C503" s="32"/>
    </row>
    <row r="504" ht="15.75" customHeight="1">
      <c r="C504" s="32"/>
    </row>
    <row r="505" ht="15.75" customHeight="1">
      <c r="C505" s="32"/>
    </row>
    <row r="506" ht="15.75" customHeight="1">
      <c r="C506" s="32"/>
    </row>
    <row r="507" ht="15.75" customHeight="1">
      <c r="C507" s="32"/>
    </row>
    <row r="508" ht="15.75" customHeight="1">
      <c r="C508" s="32"/>
    </row>
    <row r="509" ht="15.75" customHeight="1">
      <c r="C509" s="32"/>
    </row>
    <row r="510" ht="15.75" customHeight="1">
      <c r="C510" s="32"/>
    </row>
    <row r="511" ht="15.75" customHeight="1">
      <c r="C511" s="32"/>
    </row>
    <row r="512" ht="15.75" customHeight="1">
      <c r="C512" s="32"/>
    </row>
    <row r="513" ht="15.75" customHeight="1">
      <c r="C513" s="32"/>
    </row>
    <row r="514" ht="15.75" customHeight="1">
      <c r="C514" s="32"/>
    </row>
    <row r="515" ht="15.75" customHeight="1">
      <c r="C515" s="32"/>
    </row>
    <row r="516" ht="15.75" customHeight="1">
      <c r="C516" s="32"/>
    </row>
    <row r="517" ht="15.75" customHeight="1">
      <c r="C517" s="32"/>
    </row>
    <row r="518" ht="15.75" customHeight="1">
      <c r="C518" s="32"/>
    </row>
    <row r="519" ht="15.75" customHeight="1">
      <c r="C519" s="32"/>
    </row>
    <row r="520" ht="15.75" customHeight="1">
      <c r="C520" s="32"/>
    </row>
    <row r="521" ht="15.75" customHeight="1">
      <c r="C521" s="32"/>
    </row>
    <row r="522" ht="15.75" customHeight="1">
      <c r="C522" s="32"/>
    </row>
    <row r="523" ht="15.75" customHeight="1">
      <c r="C523" s="32"/>
    </row>
    <row r="524" ht="15.75" customHeight="1">
      <c r="C524" s="32"/>
    </row>
    <row r="525" ht="15.75" customHeight="1">
      <c r="C525" s="32"/>
    </row>
    <row r="526" ht="15.75" customHeight="1">
      <c r="C526" s="32"/>
    </row>
    <row r="527" ht="15.75" customHeight="1">
      <c r="C527" s="32"/>
    </row>
    <row r="528" ht="15.75" customHeight="1">
      <c r="C528" s="32"/>
    </row>
    <row r="529" ht="15.75" customHeight="1">
      <c r="C529" s="32"/>
    </row>
    <row r="530" ht="15.75" customHeight="1">
      <c r="C530" s="32"/>
    </row>
    <row r="531" ht="15.75" customHeight="1">
      <c r="C531" s="32"/>
    </row>
    <row r="532" ht="15.75" customHeight="1">
      <c r="C532" s="32"/>
    </row>
    <row r="533" ht="15.75" customHeight="1">
      <c r="C533" s="32"/>
    </row>
    <row r="534" ht="15.75" customHeight="1">
      <c r="C534" s="32"/>
    </row>
    <row r="535" ht="15.75" customHeight="1">
      <c r="C535" s="32"/>
    </row>
    <row r="536" ht="15.75" customHeight="1">
      <c r="C536" s="32"/>
    </row>
    <row r="537" ht="15.75" customHeight="1">
      <c r="C537" s="32"/>
    </row>
    <row r="538" ht="15.75" customHeight="1">
      <c r="C538" s="32"/>
    </row>
    <row r="539" ht="15.75" customHeight="1">
      <c r="C539" s="32"/>
    </row>
    <row r="540" ht="15.75" customHeight="1">
      <c r="C540" s="32"/>
    </row>
    <row r="541" ht="15.75" customHeight="1">
      <c r="C541" s="32"/>
    </row>
    <row r="542" ht="15.75" customHeight="1">
      <c r="C542" s="32"/>
    </row>
    <row r="543" ht="15.75" customHeight="1">
      <c r="C543" s="32"/>
    </row>
    <row r="544" ht="15.75" customHeight="1">
      <c r="C544" s="32"/>
    </row>
    <row r="545" ht="15.75" customHeight="1">
      <c r="C545" s="32"/>
    </row>
    <row r="546" ht="15.75" customHeight="1">
      <c r="C546" s="32"/>
    </row>
    <row r="547" ht="15.75" customHeight="1">
      <c r="C547" s="32"/>
    </row>
    <row r="548" ht="15.75" customHeight="1">
      <c r="C548" s="32"/>
    </row>
    <row r="549" ht="15.75" customHeight="1">
      <c r="C549" s="32"/>
    </row>
    <row r="550" ht="15.75" customHeight="1">
      <c r="C550" s="32"/>
    </row>
    <row r="551" ht="15.75" customHeight="1">
      <c r="C551" s="32"/>
    </row>
    <row r="552" ht="15.75" customHeight="1">
      <c r="C552" s="32"/>
    </row>
    <row r="553" ht="15.75" customHeight="1">
      <c r="C553" s="32"/>
    </row>
    <row r="554" ht="15.75" customHeight="1">
      <c r="C554" s="32"/>
    </row>
    <row r="555" ht="15.75" customHeight="1">
      <c r="C555" s="32"/>
    </row>
    <row r="556" ht="15.75" customHeight="1">
      <c r="C556" s="32"/>
    </row>
    <row r="557" ht="15.75" customHeight="1">
      <c r="C557" s="32"/>
    </row>
    <row r="558" ht="15.75" customHeight="1">
      <c r="C558" s="32"/>
    </row>
    <row r="559" ht="15.75" customHeight="1">
      <c r="C559" s="32"/>
    </row>
    <row r="560" ht="15.75" customHeight="1">
      <c r="C560" s="32"/>
    </row>
    <row r="561" ht="15.75" customHeight="1">
      <c r="C561" s="32"/>
    </row>
    <row r="562" ht="15.75" customHeight="1">
      <c r="C562" s="32"/>
    </row>
    <row r="563" ht="15.75" customHeight="1">
      <c r="C563" s="32"/>
    </row>
    <row r="564" ht="15.75" customHeight="1">
      <c r="C564" s="32"/>
    </row>
    <row r="565" ht="15.75" customHeight="1">
      <c r="C565" s="32"/>
    </row>
    <row r="566" ht="15.75" customHeight="1">
      <c r="C566" s="32"/>
    </row>
    <row r="567" ht="15.75" customHeight="1">
      <c r="C567" s="32"/>
    </row>
    <row r="568" ht="15.75" customHeight="1">
      <c r="C568" s="32"/>
    </row>
    <row r="569" ht="15.75" customHeight="1">
      <c r="C569" s="32"/>
    </row>
    <row r="570" ht="15.75" customHeight="1">
      <c r="C570" s="32"/>
    </row>
    <row r="571" ht="15.75" customHeight="1">
      <c r="C571" s="32"/>
    </row>
    <row r="572" ht="15.75" customHeight="1">
      <c r="C572" s="32"/>
    </row>
    <row r="573" ht="15.75" customHeight="1">
      <c r="C573" s="32"/>
    </row>
    <row r="574" ht="15.75" customHeight="1">
      <c r="C574" s="32"/>
    </row>
    <row r="575" ht="15.75" customHeight="1">
      <c r="C575" s="32"/>
    </row>
    <row r="576" ht="15.75" customHeight="1">
      <c r="C576" s="32"/>
    </row>
    <row r="577" ht="15.75" customHeight="1">
      <c r="C577" s="32"/>
    </row>
    <row r="578" ht="15.75" customHeight="1">
      <c r="C578" s="32"/>
    </row>
    <row r="579" ht="15.75" customHeight="1">
      <c r="C579" s="32"/>
    </row>
    <row r="580" ht="15.75" customHeight="1">
      <c r="C580" s="32"/>
    </row>
    <row r="581" ht="15.75" customHeight="1">
      <c r="C581" s="32"/>
    </row>
    <row r="582" ht="15.75" customHeight="1">
      <c r="C582" s="32"/>
    </row>
    <row r="583" ht="15.75" customHeight="1">
      <c r="C583" s="32"/>
    </row>
    <row r="584" ht="15.75" customHeight="1">
      <c r="C584" s="32"/>
    </row>
    <row r="585" ht="15.75" customHeight="1">
      <c r="C585" s="32"/>
    </row>
    <row r="586" ht="15.75" customHeight="1">
      <c r="C586" s="32"/>
    </row>
    <row r="587" ht="15.75" customHeight="1">
      <c r="C587" s="32"/>
    </row>
    <row r="588" ht="15.75" customHeight="1">
      <c r="C588" s="32"/>
    </row>
    <row r="589" ht="15.75" customHeight="1">
      <c r="C589" s="32"/>
    </row>
    <row r="590" ht="15.75" customHeight="1">
      <c r="C590" s="32"/>
    </row>
    <row r="591" ht="15.75" customHeight="1">
      <c r="C591" s="32"/>
    </row>
    <row r="592" ht="15.75" customHeight="1">
      <c r="C592" s="32"/>
    </row>
    <row r="593" ht="15.75" customHeight="1">
      <c r="C593" s="32"/>
    </row>
    <row r="594" ht="15.75" customHeight="1">
      <c r="C594" s="32"/>
    </row>
    <row r="595" ht="15.75" customHeight="1">
      <c r="C595" s="32"/>
    </row>
    <row r="596" ht="15.75" customHeight="1">
      <c r="C596" s="32"/>
    </row>
    <row r="597" ht="15.75" customHeight="1">
      <c r="C597" s="32"/>
    </row>
    <row r="598" ht="15.75" customHeight="1">
      <c r="C598" s="32"/>
    </row>
    <row r="599" ht="15.75" customHeight="1">
      <c r="C599" s="32"/>
    </row>
    <row r="600" ht="15.75" customHeight="1">
      <c r="C600" s="32"/>
    </row>
    <row r="601" ht="15.75" customHeight="1">
      <c r="C601" s="32"/>
    </row>
    <row r="602" ht="15.75" customHeight="1">
      <c r="C602" s="32"/>
    </row>
    <row r="603" ht="15.75" customHeight="1">
      <c r="C603" s="32"/>
    </row>
    <row r="604" ht="15.75" customHeight="1">
      <c r="C604" s="32"/>
    </row>
    <row r="605" ht="15.75" customHeight="1">
      <c r="C605" s="32"/>
    </row>
    <row r="606" ht="15.75" customHeight="1">
      <c r="C606" s="32"/>
    </row>
    <row r="607" ht="15.75" customHeight="1">
      <c r="C607" s="32"/>
    </row>
    <row r="608" ht="15.75" customHeight="1">
      <c r="C608" s="32"/>
    </row>
    <row r="609" ht="15.75" customHeight="1">
      <c r="C609" s="32"/>
    </row>
    <row r="610" ht="15.75" customHeight="1">
      <c r="C610" s="32"/>
    </row>
    <row r="611" ht="15.75" customHeight="1">
      <c r="C611" s="32"/>
    </row>
    <row r="612" ht="15.75" customHeight="1">
      <c r="C612" s="32"/>
    </row>
    <row r="613" ht="15.75" customHeight="1">
      <c r="C613" s="32"/>
    </row>
    <row r="614" ht="15.75" customHeight="1">
      <c r="C614" s="32"/>
    </row>
    <row r="615" ht="15.75" customHeight="1">
      <c r="C615" s="32"/>
    </row>
    <row r="616" ht="15.75" customHeight="1">
      <c r="C616" s="32"/>
    </row>
    <row r="617" ht="15.75" customHeight="1">
      <c r="C617" s="32"/>
    </row>
    <row r="618" ht="15.75" customHeight="1">
      <c r="C618" s="32"/>
    </row>
    <row r="619" ht="15.75" customHeight="1">
      <c r="C619" s="32"/>
    </row>
    <row r="620" ht="15.75" customHeight="1">
      <c r="C620" s="32"/>
    </row>
    <row r="621" ht="15.75" customHeight="1">
      <c r="C621" s="32"/>
    </row>
    <row r="622" ht="15.75" customHeight="1">
      <c r="C622" s="32"/>
    </row>
    <row r="623" ht="15.75" customHeight="1">
      <c r="C623" s="32"/>
    </row>
    <row r="624" ht="15.75" customHeight="1">
      <c r="C624" s="32"/>
    </row>
    <row r="625" ht="15.75" customHeight="1">
      <c r="C625" s="32"/>
    </row>
    <row r="626" ht="15.75" customHeight="1">
      <c r="C626" s="32"/>
    </row>
    <row r="627" ht="15.75" customHeight="1">
      <c r="C627" s="32"/>
    </row>
    <row r="628" ht="15.75" customHeight="1">
      <c r="C628" s="32"/>
    </row>
    <row r="629" ht="15.75" customHeight="1">
      <c r="C629" s="32"/>
    </row>
    <row r="630" ht="15.75" customHeight="1">
      <c r="C630" s="32"/>
    </row>
    <row r="631" ht="15.75" customHeight="1">
      <c r="C631" s="32"/>
    </row>
    <row r="632" ht="15.75" customHeight="1">
      <c r="C632" s="32"/>
    </row>
    <row r="633" ht="15.75" customHeight="1">
      <c r="C633" s="32"/>
    </row>
    <row r="634" ht="15.75" customHeight="1">
      <c r="C634" s="32"/>
    </row>
    <row r="635" ht="15.75" customHeight="1">
      <c r="C635" s="32"/>
    </row>
    <row r="636" ht="15.75" customHeight="1">
      <c r="C636" s="32"/>
    </row>
    <row r="637" ht="15.75" customHeight="1">
      <c r="C637" s="32"/>
    </row>
    <row r="638" ht="15.75" customHeight="1">
      <c r="C638" s="32"/>
    </row>
    <row r="639" ht="15.75" customHeight="1">
      <c r="C639" s="32"/>
    </row>
    <row r="640" ht="15.75" customHeight="1">
      <c r="C640" s="32"/>
    </row>
    <row r="641" ht="15.75" customHeight="1">
      <c r="C641" s="32"/>
    </row>
    <row r="642" ht="15.75" customHeight="1">
      <c r="C642" s="32"/>
    </row>
    <row r="643" ht="15.75" customHeight="1">
      <c r="C643" s="32"/>
    </row>
    <row r="644" ht="15.75" customHeight="1">
      <c r="C644" s="32"/>
    </row>
    <row r="645" ht="15.75" customHeight="1">
      <c r="C645" s="32"/>
    </row>
    <row r="646" ht="15.75" customHeight="1">
      <c r="C646" s="32"/>
    </row>
    <row r="647" ht="15.75" customHeight="1">
      <c r="C647" s="32"/>
    </row>
    <row r="648" ht="15.75" customHeight="1">
      <c r="C648" s="32"/>
    </row>
    <row r="649" ht="15.75" customHeight="1">
      <c r="C649" s="32"/>
    </row>
    <row r="650" ht="15.75" customHeight="1">
      <c r="C650" s="32"/>
    </row>
    <row r="651" ht="15.75" customHeight="1">
      <c r="C651" s="32"/>
    </row>
    <row r="652" ht="15.75" customHeight="1">
      <c r="C652" s="32"/>
    </row>
    <row r="653" ht="15.75" customHeight="1">
      <c r="C653" s="32"/>
    </row>
    <row r="654" ht="15.75" customHeight="1">
      <c r="C654" s="32"/>
    </row>
    <row r="655" ht="15.75" customHeight="1">
      <c r="C655" s="32"/>
    </row>
    <row r="656" ht="15.75" customHeight="1">
      <c r="C656" s="32"/>
    </row>
    <row r="657" ht="15.75" customHeight="1">
      <c r="C657" s="32"/>
    </row>
    <row r="658" ht="15.75" customHeight="1">
      <c r="C658" s="32"/>
    </row>
    <row r="659" ht="15.75" customHeight="1">
      <c r="C659" s="32"/>
    </row>
    <row r="660" ht="15.75" customHeight="1">
      <c r="C660" s="32"/>
    </row>
    <row r="661" ht="15.75" customHeight="1">
      <c r="C661" s="32"/>
    </row>
    <row r="662" ht="15.75" customHeight="1">
      <c r="C662" s="32"/>
    </row>
    <row r="663" ht="15.75" customHeight="1">
      <c r="C663" s="32"/>
    </row>
    <row r="664" ht="15.75" customHeight="1">
      <c r="C664" s="32"/>
    </row>
    <row r="665" ht="15.75" customHeight="1">
      <c r="C665" s="32"/>
    </row>
    <row r="666" ht="15.75" customHeight="1">
      <c r="C666" s="32"/>
    </row>
    <row r="667" ht="15.75" customHeight="1">
      <c r="C667" s="32"/>
    </row>
    <row r="668" ht="15.75" customHeight="1">
      <c r="C668" s="32"/>
    </row>
    <row r="669" ht="15.75" customHeight="1">
      <c r="C669" s="32"/>
    </row>
    <row r="670" ht="15.75" customHeight="1">
      <c r="C670" s="32"/>
    </row>
    <row r="671" ht="15.75" customHeight="1">
      <c r="C671" s="32"/>
    </row>
    <row r="672" ht="15.75" customHeight="1">
      <c r="C672" s="32"/>
    </row>
    <row r="673" ht="15.75" customHeight="1">
      <c r="C673" s="32"/>
    </row>
    <row r="674" ht="15.75" customHeight="1">
      <c r="C674" s="32"/>
    </row>
    <row r="675" ht="15.75" customHeight="1">
      <c r="C675" s="32"/>
    </row>
    <row r="676" ht="15.75" customHeight="1">
      <c r="C676" s="32"/>
    </row>
    <row r="677" ht="15.75" customHeight="1">
      <c r="C677" s="32"/>
    </row>
    <row r="678" ht="15.75" customHeight="1">
      <c r="C678" s="32"/>
    </row>
    <row r="679" ht="15.75" customHeight="1">
      <c r="C679" s="32"/>
    </row>
    <row r="680" ht="15.75" customHeight="1">
      <c r="C680" s="32"/>
    </row>
    <row r="681" ht="15.75" customHeight="1">
      <c r="C681" s="32"/>
    </row>
    <row r="682" ht="15.75" customHeight="1">
      <c r="C682" s="32"/>
    </row>
    <row r="683" ht="15.75" customHeight="1">
      <c r="C683" s="32"/>
    </row>
    <row r="684" ht="15.75" customHeight="1">
      <c r="C684" s="32"/>
    </row>
    <row r="685" ht="15.75" customHeight="1">
      <c r="C685" s="32"/>
    </row>
    <row r="686" ht="15.75" customHeight="1">
      <c r="C686" s="32"/>
    </row>
    <row r="687" ht="15.75" customHeight="1">
      <c r="C687" s="32"/>
    </row>
    <row r="688" ht="15.75" customHeight="1">
      <c r="C688" s="32"/>
    </row>
    <row r="689" ht="15.75" customHeight="1">
      <c r="C689" s="32"/>
    </row>
    <row r="690" ht="15.75" customHeight="1">
      <c r="C690" s="32"/>
    </row>
    <row r="691" ht="15.75" customHeight="1">
      <c r="C691" s="32"/>
    </row>
    <row r="692" ht="15.75" customHeight="1">
      <c r="C692" s="32"/>
    </row>
    <row r="693" ht="15.75" customHeight="1">
      <c r="C693" s="32"/>
    </row>
    <row r="694" ht="15.75" customHeight="1">
      <c r="C694" s="32"/>
    </row>
    <row r="695" ht="15.75" customHeight="1">
      <c r="C695" s="32"/>
    </row>
    <row r="696" ht="15.75" customHeight="1">
      <c r="C696" s="32"/>
    </row>
    <row r="697" ht="15.75" customHeight="1">
      <c r="C697" s="32"/>
    </row>
    <row r="698" ht="15.75" customHeight="1">
      <c r="C698" s="32"/>
    </row>
    <row r="699" ht="15.75" customHeight="1">
      <c r="C699" s="32"/>
    </row>
    <row r="700" ht="15.75" customHeight="1">
      <c r="C700" s="32"/>
    </row>
    <row r="701" ht="15.75" customHeight="1">
      <c r="C701" s="32"/>
    </row>
    <row r="702" ht="15.75" customHeight="1">
      <c r="C702" s="32"/>
    </row>
    <row r="703" ht="15.75" customHeight="1">
      <c r="C703" s="32"/>
    </row>
    <row r="704" ht="15.75" customHeight="1">
      <c r="C704" s="32"/>
    </row>
    <row r="705" ht="15.75" customHeight="1">
      <c r="C705" s="32"/>
    </row>
    <row r="706" ht="15.75" customHeight="1">
      <c r="C706" s="32"/>
    </row>
    <row r="707" ht="15.75" customHeight="1">
      <c r="C707" s="32"/>
    </row>
    <row r="708" ht="15.75" customHeight="1">
      <c r="C708" s="32"/>
    </row>
    <row r="709" ht="15.75" customHeight="1">
      <c r="C709" s="32"/>
    </row>
    <row r="710" ht="15.75" customHeight="1">
      <c r="C710" s="32"/>
    </row>
    <row r="711" ht="15.75" customHeight="1">
      <c r="C711" s="32"/>
    </row>
    <row r="712" ht="15.75" customHeight="1">
      <c r="C712" s="32"/>
    </row>
    <row r="713" ht="15.75" customHeight="1">
      <c r="C713" s="32"/>
    </row>
    <row r="714" ht="15.75" customHeight="1">
      <c r="C714" s="32"/>
    </row>
    <row r="715" ht="15.75" customHeight="1">
      <c r="C715" s="32"/>
    </row>
    <row r="716" ht="15.75" customHeight="1">
      <c r="C716" s="32"/>
    </row>
    <row r="717" ht="15.75" customHeight="1">
      <c r="C717" s="32"/>
    </row>
    <row r="718" ht="15.75" customHeight="1">
      <c r="C718" s="32"/>
    </row>
    <row r="719" ht="15.75" customHeight="1">
      <c r="C719" s="32"/>
    </row>
    <row r="720" ht="15.75" customHeight="1">
      <c r="C720" s="32"/>
    </row>
    <row r="721" ht="15.75" customHeight="1">
      <c r="C721" s="32"/>
    </row>
    <row r="722" ht="15.75" customHeight="1">
      <c r="C722" s="32"/>
    </row>
    <row r="723" ht="15.75" customHeight="1">
      <c r="C723" s="32"/>
    </row>
    <row r="724" ht="15.75" customHeight="1">
      <c r="C724" s="32"/>
    </row>
    <row r="725" ht="15.75" customHeight="1">
      <c r="C725" s="32"/>
    </row>
    <row r="726" ht="15.75" customHeight="1">
      <c r="C726" s="32"/>
    </row>
    <row r="727" ht="15.75" customHeight="1">
      <c r="C727" s="32"/>
    </row>
    <row r="728" ht="15.75" customHeight="1">
      <c r="C728" s="32"/>
    </row>
    <row r="729" ht="15.75" customHeight="1">
      <c r="C729" s="32"/>
    </row>
    <row r="730" ht="15.75" customHeight="1">
      <c r="C730" s="32"/>
    </row>
    <row r="731" ht="15.75" customHeight="1">
      <c r="C731" s="32"/>
    </row>
    <row r="732" ht="15.75" customHeight="1">
      <c r="C732" s="32"/>
    </row>
    <row r="733" ht="15.75" customHeight="1">
      <c r="C733" s="32"/>
    </row>
    <row r="734" ht="15.75" customHeight="1">
      <c r="C734" s="32"/>
    </row>
    <row r="735" ht="15.75" customHeight="1">
      <c r="C735" s="32"/>
    </row>
    <row r="736" ht="15.75" customHeight="1">
      <c r="C736" s="32"/>
    </row>
    <row r="737" ht="15.75" customHeight="1">
      <c r="C737" s="32"/>
    </row>
    <row r="738" ht="15.75" customHeight="1">
      <c r="C738" s="32"/>
    </row>
    <row r="739" ht="15.75" customHeight="1">
      <c r="C739" s="32"/>
    </row>
    <row r="740" ht="15.75" customHeight="1">
      <c r="C740" s="32"/>
    </row>
    <row r="741" ht="15.75" customHeight="1">
      <c r="C741" s="32"/>
    </row>
    <row r="742" ht="15.75" customHeight="1">
      <c r="C742" s="32"/>
    </row>
    <row r="743" ht="15.75" customHeight="1">
      <c r="C743" s="32"/>
    </row>
    <row r="744" ht="15.75" customHeight="1">
      <c r="C744" s="32"/>
    </row>
    <row r="745" ht="15.75" customHeight="1">
      <c r="C745" s="32"/>
    </row>
    <row r="746" ht="15.75" customHeight="1">
      <c r="C746" s="32"/>
    </row>
    <row r="747" ht="15.75" customHeight="1">
      <c r="C747" s="32"/>
    </row>
    <row r="748" ht="15.75" customHeight="1">
      <c r="C748" s="32"/>
    </row>
    <row r="749" ht="15.75" customHeight="1">
      <c r="C749" s="32"/>
    </row>
    <row r="750" ht="15.75" customHeight="1">
      <c r="C750" s="32"/>
    </row>
    <row r="751" ht="15.75" customHeight="1">
      <c r="C751" s="32"/>
    </row>
    <row r="752" ht="15.75" customHeight="1">
      <c r="C752" s="32"/>
    </row>
    <row r="753" ht="15.75" customHeight="1">
      <c r="C753" s="32"/>
    </row>
    <row r="754" ht="15.75" customHeight="1">
      <c r="C754" s="32"/>
    </row>
    <row r="755" ht="15.75" customHeight="1">
      <c r="C755" s="32"/>
    </row>
    <row r="756" ht="15.75" customHeight="1">
      <c r="C756" s="32"/>
    </row>
    <row r="757" ht="15.75" customHeight="1">
      <c r="C757" s="32"/>
    </row>
    <row r="758" ht="15.75" customHeight="1">
      <c r="C758" s="32"/>
    </row>
    <row r="759" ht="15.75" customHeight="1">
      <c r="C759" s="32"/>
    </row>
    <row r="760" ht="15.75" customHeight="1">
      <c r="C760" s="32"/>
    </row>
    <row r="761" ht="15.75" customHeight="1">
      <c r="C761" s="32"/>
    </row>
    <row r="762" ht="15.75" customHeight="1">
      <c r="C762" s="32"/>
    </row>
    <row r="763" ht="15.75" customHeight="1">
      <c r="C763" s="32"/>
    </row>
    <row r="764" ht="15.75" customHeight="1">
      <c r="C764" s="32"/>
    </row>
    <row r="765" ht="15.75" customHeight="1">
      <c r="C765" s="32"/>
    </row>
    <row r="766" ht="15.75" customHeight="1">
      <c r="C766" s="32"/>
    </row>
    <row r="767" ht="15.75" customHeight="1">
      <c r="C767" s="32"/>
    </row>
    <row r="768" ht="15.75" customHeight="1">
      <c r="C768" s="32"/>
    </row>
    <row r="769" ht="15.75" customHeight="1">
      <c r="C769" s="32"/>
    </row>
    <row r="770" ht="15.75" customHeight="1">
      <c r="C770" s="32"/>
    </row>
    <row r="771" ht="15.75" customHeight="1">
      <c r="C771" s="32"/>
    </row>
    <row r="772" ht="15.75" customHeight="1">
      <c r="C772" s="32"/>
    </row>
    <row r="773" ht="15.75" customHeight="1">
      <c r="C773" s="32"/>
    </row>
    <row r="774" ht="15.75" customHeight="1">
      <c r="C774" s="32"/>
    </row>
    <row r="775" ht="15.75" customHeight="1">
      <c r="C775" s="32"/>
    </row>
    <row r="776" ht="15.75" customHeight="1">
      <c r="C776" s="32"/>
    </row>
    <row r="777" ht="15.75" customHeight="1">
      <c r="C777" s="32"/>
    </row>
    <row r="778" ht="15.75" customHeight="1">
      <c r="C778" s="32"/>
    </row>
    <row r="779" ht="15.75" customHeight="1">
      <c r="C779" s="32"/>
    </row>
    <row r="780" ht="15.75" customHeight="1">
      <c r="C780" s="32"/>
    </row>
    <row r="781" ht="15.75" customHeight="1">
      <c r="C781" s="32"/>
    </row>
    <row r="782" ht="15.75" customHeight="1">
      <c r="C782" s="32"/>
    </row>
    <row r="783" ht="15.75" customHeight="1">
      <c r="C783" s="32"/>
    </row>
    <row r="784" ht="15.75" customHeight="1">
      <c r="C784" s="32"/>
    </row>
    <row r="785" ht="15.75" customHeight="1">
      <c r="C785" s="32"/>
    </row>
    <row r="786" ht="15.75" customHeight="1">
      <c r="C786" s="32"/>
    </row>
    <row r="787" ht="15.75" customHeight="1">
      <c r="C787" s="32"/>
    </row>
    <row r="788" ht="15.75" customHeight="1">
      <c r="C788" s="32"/>
    </row>
    <row r="789" ht="15.75" customHeight="1">
      <c r="C789" s="32"/>
    </row>
    <row r="790" ht="15.75" customHeight="1">
      <c r="C790" s="32"/>
    </row>
    <row r="791" ht="15.75" customHeight="1">
      <c r="C791" s="32"/>
    </row>
    <row r="792" ht="15.75" customHeight="1">
      <c r="C792" s="32"/>
    </row>
    <row r="793" ht="15.75" customHeight="1">
      <c r="C793" s="32"/>
    </row>
    <row r="794" ht="15.75" customHeight="1">
      <c r="C794" s="32"/>
    </row>
    <row r="795" ht="15.75" customHeight="1">
      <c r="C795" s="32"/>
    </row>
    <row r="796" ht="15.75" customHeight="1">
      <c r="C796" s="32"/>
    </row>
    <row r="797" ht="15.75" customHeight="1">
      <c r="C797" s="32"/>
    </row>
    <row r="798" ht="15.75" customHeight="1">
      <c r="C798" s="32"/>
    </row>
    <row r="799" ht="15.75" customHeight="1">
      <c r="C799" s="32"/>
    </row>
    <row r="800" ht="15.75" customHeight="1">
      <c r="C800" s="32"/>
    </row>
    <row r="801" ht="15.75" customHeight="1">
      <c r="C801" s="32"/>
    </row>
    <row r="802" ht="15.75" customHeight="1">
      <c r="C802" s="32"/>
    </row>
    <row r="803" ht="15.75" customHeight="1">
      <c r="C803" s="32"/>
    </row>
    <row r="804" ht="15.75" customHeight="1">
      <c r="C804" s="32"/>
    </row>
    <row r="805" ht="15.75" customHeight="1">
      <c r="C805" s="32"/>
    </row>
    <row r="806" ht="15.75" customHeight="1">
      <c r="C806" s="32"/>
    </row>
    <row r="807" ht="15.75" customHeight="1">
      <c r="C807" s="32"/>
    </row>
    <row r="808" ht="15.75" customHeight="1">
      <c r="C808" s="32"/>
    </row>
    <row r="809" ht="15.75" customHeight="1">
      <c r="C809" s="32"/>
    </row>
    <row r="810" ht="15.75" customHeight="1">
      <c r="C810" s="32"/>
    </row>
    <row r="811" ht="15.75" customHeight="1">
      <c r="C811" s="32"/>
    </row>
    <row r="812" ht="15.75" customHeight="1">
      <c r="C812" s="32"/>
    </row>
    <row r="813" ht="15.75" customHeight="1">
      <c r="C813" s="32"/>
    </row>
    <row r="814" ht="15.75" customHeight="1">
      <c r="C814" s="32"/>
    </row>
    <row r="815" ht="15.75" customHeight="1">
      <c r="C815" s="32"/>
    </row>
    <row r="816" ht="15.75" customHeight="1">
      <c r="C816" s="32"/>
    </row>
    <row r="817" ht="15.75" customHeight="1">
      <c r="C817" s="32"/>
    </row>
    <row r="818" ht="15.75" customHeight="1">
      <c r="C818" s="32"/>
    </row>
    <row r="819" ht="15.75" customHeight="1">
      <c r="C819" s="32"/>
    </row>
    <row r="820" ht="15.75" customHeight="1">
      <c r="C820" s="32"/>
    </row>
    <row r="821" ht="15.75" customHeight="1">
      <c r="C821" s="32"/>
    </row>
    <row r="822" ht="15.75" customHeight="1">
      <c r="C822" s="32"/>
    </row>
    <row r="823" ht="15.75" customHeight="1">
      <c r="C823" s="32"/>
    </row>
    <row r="824" ht="15.75" customHeight="1">
      <c r="C824" s="32"/>
    </row>
    <row r="825" ht="15.75" customHeight="1">
      <c r="C825" s="32"/>
    </row>
    <row r="826" ht="15.75" customHeight="1">
      <c r="C826" s="32"/>
    </row>
    <row r="827" ht="15.75" customHeight="1">
      <c r="C827" s="32"/>
    </row>
    <row r="828" ht="15.75" customHeight="1">
      <c r="C828" s="32"/>
    </row>
    <row r="829" ht="15.75" customHeight="1">
      <c r="C829" s="32"/>
    </row>
    <row r="830" ht="15.75" customHeight="1">
      <c r="C830" s="32"/>
    </row>
    <row r="831" ht="15.75" customHeight="1">
      <c r="C831" s="32"/>
    </row>
    <row r="832" ht="15.75" customHeight="1">
      <c r="C832" s="32"/>
    </row>
    <row r="833" ht="15.75" customHeight="1">
      <c r="C833" s="32"/>
    </row>
    <row r="834" ht="15.75" customHeight="1">
      <c r="C834" s="32"/>
    </row>
    <row r="835" ht="15.75" customHeight="1">
      <c r="C835" s="32"/>
    </row>
    <row r="836" ht="15.75" customHeight="1">
      <c r="C836" s="32"/>
    </row>
    <row r="837" ht="15.75" customHeight="1">
      <c r="C837" s="32"/>
    </row>
    <row r="838" ht="15.75" customHeight="1">
      <c r="C838" s="32"/>
    </row>
    <row r="839" ht="15.75" customHeight="1">
      <c r="C839" s="32"/>
    </row>
    <row r="840" ht="15.75" customHeight="1">
      <c r="C840" s="32"/>
    </row>
    <row r="841" ht="15.75" customHeight="1">
      <c r="C841" s="32"/>
    </row>
    <row r="842" ht="15.75" customHeight="1">
      <c r="C842" s="32"/>
    </row>
    <row r="843" ht="15.75" customHeight="1">
      <c r="C843" s="32"/>
    </row>
    <row r="844" ht="15.75" customHeight="1">
      <c r="C844" s="32"/>
    </row>
    <row r="845" ht="15.75" customHeight="1">
      <c r="C845" s="32"/>
    </row>
    <row r="846" ht="15.75" customHeight="1">
      <c r="C846" s="32"/>
    </row>
    <row r="847" ht="15.75" customHeight="1">
      <c r="C847" s="32"/>
    </row>
    <row r="848" ht="15.75" customHeight="1">
      <c r="C848" s="32"/>
    </row>
    <row r="849" ht="15.75" customHeight="1">
      <c r="C849" s="32"/>
    </row>
    <row r="850" ht="15.75" customHeight="1">
      <c r="C850" s="32"/>
    </row>
    <row r="851" ht="15.75" customHeight="1">
      <c r="C851" s="32"/>
    </row>
    <row r="852" ht="15.75" customHeight="1">
      <c r="C852" s="32"/>
    </row>
    <row r="853" ht="15.75" customHeight="1">
      <c r="C853" s="32"/>
    </row>
    <row r="854" ht="15.75" customHeight="1">
      <c r="C854" s="32"/>
    </row>
    <row r="855" ht="15.75" customHeight="1">
      <c r="C855" s="32"/>
    </row>
    <row r="856" ht="15.75" customHeight="1">
      <c r="C856" s="32"/>
    </row>
    <row r="857" ht="15.75" customHeight="1">
      <c r="C857" s="32"/>
    </row>
    <row r="858" ht="15.75" customHeight="1">
      <c r="C858" s="32"/>
    </row>
    <row r="859" ht="15.75" customHeight="1">
      <c r="C859" s="32"/>
    </row>
    <row r="860" ht="15.75" customHeight="1">
      <c r="C860" s="32"/>
    </row>
    <row r="861" ht="15.75" customHeight="1">
      <c r="C861" s="32"/>
    </row>
    <row r="862" ht="15.75" customHeight="1">
      <c r="C862" s="32"/>
    </row>
    <row r="863" ht="15.75" customHeight="1">
      <c r="C863" s="32"/>
    </row>
    <row r="864" ht="15.75" customHeight="1">
      <c r="C864" s="32"/>
    </row>
    <row r="865" ht="15.75" customHeight="1">
      <c r="C865" s="32"/>
    </row>
    <row r="866" ht="15.75" customHeight="1">
      <c r="C866" s="32"/>
    </row>
    <row r="867" ht="15.75" customHeight="1">
      <c r="C867" s="32"/>
    </row>
    <row r="868" ht="15.75" customHeight="1">
      <c r="C868" s="32"/>
    </row>
    <row r="869" ht="15.75" customHeight="1">
      <c r="C869" s="32"/>
    </row>
    <row r="870" ht="15.75" customHeight="1">
      <c r="C870" s="32"/>
    </row>
    <row r="871" ht="15.75" customHeight="1">
      <c r="C871" s="32"/>
    </row>
    <row r="872" ht="15.75" customHeight="1">
      <c r="C872" s="32"/>
    </row>
    <row r="873" ht="15.75" customHeight="1">
      <c r="C873" s="32"/>
    </row>
    <row r="874" ht="15.75" customHeight="1">
      <c r="C874" s="32"/>
    </row>
    <row r="875" ht="15.75" customHeight="1">
      <c r="C875" s="32"/>
    </row>
    <row r="876" ht="15.75" customHeight="1">
      <c r="C876" s="32"/>
    </row>
    <row r="877" ht="15.75" customHeight="1">
      <c r="C877" s="32"/>
    </row>
    <row r="878" ht="15.75" customHeight="1">
      <c r="C878" s="32"/>
    </row>
    <row r="879" ht="15.75" customHeight="1">
      <c r="C879" s="32"/>
    </row>
    <row r="880" ht="15.75" customHeight="1">
      <c r="C880" s="32"/>
    </row>
    <row r="881" ht="15.75" customHeight="1">
      <c r="C881" s="32"/>
    </row>
    <row r="882" ht="15.75" customHeight="1">
      <c r="C882" s="32"/>
    </row>
    <row r="883" ht="15.75" customHeight="1">
      <c r="C883" s="32"/>
    </row>
    <row r="884" ht="15.75" customHeight="1">
      <c r="C884" s="32"/>
    </row>
    <row r="885" ht="15.75" customHeight="1">
      <c r="C885" s="32"/>
    </row>
    <row r="886" ht="15.75" customHeight="1">
      <c r="C886" s="32"/>
    </row>
    <row r="887" ht="15.75" customHeight="1">
      <c r="C887" s="32"/>
    </row>
    <row r="888" ht="15.75" customHeight="1">
      <c r="C888" s="32"/>
    </row>
    <row r="889" ht="15.75" customHeight="1">
      <c r="C889" s="32"/>
    </row>
    <row r="890" ht="15.75" customHeight="1">
      <c r="C890" s="32"/>
    </row>
    <row r="891" ht="15.75" customHeight="1">
      <c r="C891" s="32"/>
    </row>
    <row r="892" ht="15.75" customHeight="1">
      <c r="C892" s="32"/>
    </row>
    <row r="893" ht="15.75" customHeight="1">
      <c r="C893" s="32"/>
    </row>
    <row r="894" ht="15.75" customHeight="1">
      <c r="C894" s="32"/>
    </row>
    <row r="895" ht="15.75" customHeight="1">
      <c r="C895" s="32"/>
    </row>
    <row r="896" ht="15.75" customHeight="1">
      <c r="C896" s="32"/>
    </row>
    <row r="897" ht="15.75" customHeight="1">
      <c r="C897" s="32"/>
    </row>
    <row r="898" ht="15.75" customHeight="1">
      <c r="C898" s="32"/>
    </row>
    <row r="899" ht="15.75" customHeight="1">
      <c r="C899" s="32"/>
    </row>
    <row r="900" ht="15.75" customHeight="1">
      <c r="C900" s="32"/>
    </row>
    <row r="901" ht="15.75" customHeight="1">
      <c r="C901" s="32"/>
    </row>
    <row r="902" ht="15.75" customHeight="1">
      <c r="C902" s="32"/>
    </row>
    <row r="903" ht="15.75" customHeight="1">
      <c r="C903" s="32"/>
    </row>
    <row r="904" ht="15.75" customHeight="1">
      <c r="C904" s="32"/>
    </row>
    <row r="905" ht="15.75" customHeight="1">
      <c r="C905" s="32"/>
    </row>
    <row r="906" ht="15.75" customHeight="1">
      <c r="C906" s="32"/>
    </row>
    <row r="907" ht="15.75" customHeight="1">
      <c r="C907" s="32"/>
    </row>
    <row r="908" ht="15.75" customHeight="1">
      <c r="C908" s="32"/>
    </row>
    <row r="909" ht="15.75" customHeight="1">
      <c r="C909" s="32"/>
    </row>
    <row r="910" ht="15.75" customHeight="1">
      <c r="C910" s="32"/>
    </row>
    <row r="911" ht="15.75" customHeight="1">
      <c r="C911" s="32"/>
    </row>
    <row r="912" ht="15.75" customHeight="1">
      <c r="C912" s="32"/>
    </row>
    <row r="913" ht="15.75" customHeight="1">
      <c r="C913" s="32"/>
    </row>
    <row r="914" ht="15.75" customHeight="1">
      <c r="C914" s="32"/>
    </row>
    <row r="915" ht="15.75" customHeight="1">
      <c r="C915" s="32"/>
    </row>
    <row r="916" ht="15.75" customHeight="1">
      <c r="C916" s="32"/>
    </row>
    <row r="917" ht="15.75" customHeight="1">
      <c r="C917" s="32"/>
    </row>
    <row r="918" ht="15.75" customHeight="1">
      <c r="C918" s="32"/>
    </row>
    <row r="919" ht="15.75" customHeight="1">
      <c r="C919" s="32"/>
    </row>
    <row r="920" ht="15.75" customHeight="1">
      <c r="C920" s="32"/>
    </row>
    <row r="921" ht="15.75" customHeight="1">
      <c r="C921" s="32"/>
    </row>
    <row r="922" ht="15.75" customHeight="1">
      <c r="C922" s="32"/>
    </row>
    <row r="923" ht="15.75" customHeight="1">
      <c r="C923" s="32"/>
    </row>
    <row r="924" ht="15.75" customHeight="1">
      <c r="C924" s="32"/>
    </row>
    <row r="925" ht="15.75" customHeight="1">
      <c r="C925" s="32"/>
    </row>
    <row r="926" ht="15.75" customHeight="1">
      <c r="C926" s="32"/>
    </row>
    <row r="927" ht="15.75" customHeight="1">
      <c r="C927" s="32"/>
    </row>
    <row r="928" ht="15.75" customHeight="1">
      <c r="C928" s="32"/>
    </row>
    <row r="929" ht="15.75" customHeight="1">
      <c r="C929" s="32"/>
    </row>
    <row r="930" ht="15.75" customHeight="1">
      <c r="C930" s="32"/>
    </row>
    <row r="931" ht="15.75" customHeight="1">
      <c r="C931" s="32"/>
    </row>
    <row r="932" ht="15.75" customHeight="1">
      <c r="C932" s="32"/>
    </row>
    <row r="933" ht="15.75" customHeight="1">
      <c r="C933" s="32"/>
    </row>
    <row r="934" ht="15.75" customHeight="1">
      <c r="C934" s="32"/>
    </row>
    <row r="935" ht="15.75" customHeight="1">
      <c r="C935" s="32"/>
    </row>
    <row r="936" ht="15.75" customHeight="1">
      <c r="C936" s="32"/>
    </row>
    <row r="937" ht="15.75" customHeight="1">
      <c r="C937" s="32"/>
    </row>
    <row r="938" ht="15.75" customHeight="1">
      <c r="C938" s="32"/>
    </row>
    <row r="939" ht="15.75" customHeight="1">
      <c r="C939" s="32"/>
    </row>
    <row r="940" ht="15.75" customHeight="1">
      <c r="C940" s="32"/>
    </row>
    <row r="941" ht="15.75" customHeight="1">
      <c r="C941" s="32"/>
    </row>
    <row r="942" ht="15.75" customHeight="1">
      <c r="C942" s="32"/>
    </row>
    <row r="943" ht="15.75" customHeight="1">
      <c r="C943" s="32"/>
    </row>
    <row r="944" ht="15.75" customHeight="1">
      <c r="C944" s="32"/>
    </row>
    <row r="945" ht="15.75" customHeight="1">
      <c r="C945" s="32"/>
    </row>
    <row r="946" ht="15.75" customHeight="1">
      <c r="C946" s="32"/>
    </row>
    <row r="947" ht="15.75" customHeight="1">
      <c r="C947" s="32"/>
    </row>
    <row r="948" ht="15.75" customHeight="1">
      <c r="C948" s="32"/>
    </row>
    <row r="949" ht="15.75" customHeight="1">
      <c r="C949" s="32"/>
    </row>
    <row r="950" ht="15.75" customHeight="1">
      <c r="C950" s="32"/>
    </row>
    <row r="951" ht="15.75" customHeight="1">
      <c r="C951" s="32"/>
    </row>
    <row r="952" ht="15.75" customHeight="1">
      <c r="C952" s="32"/>
    </row>
    <row r="953" ht="15.75" customHeight="1">
      <c r="C953" s="32"/>
    </row>
    <row r="954" ht="15.75" customHeight="1">
      <c r="C954" s="32"/>
    </row>
    <row r="955" ht="15.75" customHeight="1">
      <c r="C955" s="32"/>
    </row>
    <row r="956" ht="15.75" customHeight="1">
      <c r="C956" s="32"/>
    </row>
    <row r="957" ht="15.75" customHeight="1">
      <c r="C957" s="32"/>
    </row>
    <row r="958" ht="15.75" customHeight="1">
      <c r="C958" s="32"/>
    </row>
    <row r="959" ht="15.75" customHeight="1">
      <c r="C959" s="32"/>
    </row>
    <row r="960" ht="15.75" customHeight="1">
      <c r="C960" s="32"/>
    </row>
    <row r="961" ht="15.75" customHeight="1">
      <c r="C961" s="32"/>
    </row>
    <row r="962" ht="15.75" customHeight="1">
      <c r="C962" s="32"/>
    </row>
    <row r="963" ht="15.75" customHeight="1">
      <c r="C963" s="32"/>
    </row>
    <row r="964" ht="15.75" customHeight="1">
      <c r="C964" s="32"/>
    </row>
    <row r="965" ht="15.75" customHeight="1">
      <c r="C965" s="32"/>
    </row>
    <row r="966" ht="15.75" customHeight="1">
      <c r="C966" s="32"/>
    </row>
    <row r="967" ht="15.75" customHeight="1">
      <c r="C967" s="32"/>
    </row>
    <row r="968" ht="15.75" customHeight="1">
      <c r="C968" s="32"/>
    </row>
    <row r="969" ht="15.75" customHeight="1">
      <c r="C969" s="32"/>
    </row>
    <row r="970" ht="15.75" customHeight="1">
      <c r="C970" s="32"/>
    </row>
    <row r="971" ht="15.75" customHeight="1">
      <c r="C971" s="32"/>
    </row>
    <row r="972" ht="15.75" customHeight="1">
      <c r="C972" s="32"/>
    </row>
    <row r="973" ht="15.75" customHeight="1">
      <c r="C973" s="32"/>
    </row>
    <row r="974" ht="15.75" customHeight="1">
      <c r="C974" s="32"/>
    </row>
    <row r="975" ht="15.75" customHeight="1">
      <c r="C975" s="32"/>
    </row>
    <row r="976" ht="15.75" customHeight="1">
      <c r="C976" s="32"/>
    </row>
    <row r="977" ht="15.75" customHeight="1">
      <c r="C977" s="32"/>
    </row>
    <row r="978" ht="15.75" customHeight="1">
      <c r="C978" s="32"/>
    </row>
    <row r="979" ht="15.75" customHeight="1">
      <c r="C979" s="32"/>
    </row>
    <row r="980" ht="15.75" customHeight="1">
      <c r="C980" s="32"/>
    </row>
    <row r="981" ht="15.75" customHeight="1">
      <c r="C981" s="32"/>
    </row>
    <row r="982" ht="15.75" customHeight="1">
      <c r="C982" s="32"/>
    </row>
    <row r="983" ht="15.75" customHeight="1">
      <c r="C983" s="32"/>
    </row>
    <row r="984" ht="15.75" customHeight="1">
      <c r="C984" s="32"/>
    </row>
    <row r="985" ht="15.75" customHeight="1">
      <c r="C985" s="32"/>
    </row>
    <row r="986" ht="15.75" customHeight="1">
      <c r="C986" s="32"/>
    </row>
    <row r="987" ht="15.75" customHeight="1">
      <c r="C987" s="32"/>
    </row>
    <row r="988" ht="15.75" customHeight="1">
      <c r="C988" s="32"/>
    </row>
    <row r="989" ht="15.75" customHeight="1">
      <c r="C989" s="32"/>
    </row>
    <row r="990" ht="15.75" customHeight="1">
      <c r="C990" s="32"/>
    </row>
    <row r="991" ht="15.75" customHeight="1">
      <c r="C991" s="32"/>
    </row>
    <row r="992" ht="15.75" customHeight="1">
      <c r="C992" s="32"/>
    </row>
    <row r="993" ht="15.75" customHeight="1">
      <c r="C993" s="32"/>
    </row>
    <row r="994" ht="15.75" customHeight="1">
      <c r="C994" s="32"/>
    </row>
    <row r="995" ht="15.75" customHeight="1">
      <c r="C995" s="32"/>
    </row>
    <row r="996" ht="15.75" customHeight="1">
      <c r="C996" s="32"/>
    </row>
    <row r="997" ht="15.75" customHeight="1">
      <c r="C997" s="32"/>
    </row>
    <row r="998" ht="15.75" customHeight="1">
      <c r="C998" s="32"/>
    </row>
    <row r="999" ht="15.75" customHeight="1">
      <c r="C999" s="32"/>
    </row>
    <row r="1000" ht="15.75" customHeight="1">
      <c r="C1000" s="32"/>
    </row>
  </sheetData>
  <printOptions/>
  <pageMargins bottom="0.75" footer="0.0" header="0.0" left="0.7" right="0.7" top="0.75"/>
  <pageSetup orientation="landscape"/>
  <drawing r:id="rId1"/>
</worksheet>
</file>